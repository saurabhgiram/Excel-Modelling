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lancsac-my.sharepoint.com/personal/giram_lancaster_ac_uk/Documents/Lancaster/BA/MSCI502 Operational Research and Prescriptive Analytics/"/>
    </mc:Choice>
  </mc:AlternateContent>
  <xr:revisionPtr revIDLastSave="3366" documentId="8_{03BE6192-B02F-4A3E-9D56-B32D742B4507}" xr6:coauthVersionLast="46" xr6:coauthVersionMax="46" xr10:uidLastSave="{E9E561B3-EF6B-4EC8-AF4E-C0B612BD2B33}"/>
  <bookViews>
    <workbookView xWindow="-120" yWindow="-120" windowWidth="20730" windowHeight="11760" xr2:uid="{00000000-000D-0000-FFFF-FFFF00000000}"/>
  </bookViews>
  <sheets>
    <sheet name="Model" sheetId="1" r:id="rId1"/>
    <sheet name="Sheet2" sheetId="2" r:id="rId2"/>
    <sheet name="Sheet3" sheetId="3" r:id="rId3"/>
  </sheets>
  <externalReferences>
    <externalReference r:id="rId4"/>
  </externalReferences>
  <definedNames>
    <definedName name="reps">Model!$I$4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7" i="1" l="1"/>
  <c r="Z16" i="1"/>
  <c r="Z15" i="1"/>
  <c r="Z14" i="1"/>
  <c r="Z13" i="1"/>
  <c r="Z12" i="1"/>
  <c r="Z11" i="1"/>
  <c r="Z10" i="1"/>
  <c r="Z9" i="1"/>
  <c r="Z8" i="1"/>
  <c r="AB7" i="1" a="1"/>
  <c r="AB15" i="1" s="1"/>
  <c r="Z7" i="1"/>
  <c r="Z3" i="1"/>
  <c r="Z2" i="1"/>
  <c r="X4" i="1"/>
  <c r="W4" i="1"/>
  <c r="X3" i="1"/>
  <c r="W3" i="1"/>
  <c r="X2" i="1"/>
  <c r="W2" i="1"/>
  <c r="X1" i="1"/>
  <c r="AB8" i="1" l="1"/>
  <c r="AB16" i="1"/>
  <c r="AB9" i="1"/>
  <c r="AB17" i="1"/>
  <c r="AB12" i="1"/>
  <c r="AB13" i="1"/>
  <c r="AB10" i="1"/>
  <c r="AB14" i="1"/>
  <c r="AB7" i="1"/>
  <c r="AB11" i="1"/>
  <c r="H8" i="1" l="1"/>
  <c r="H9" i="1"/>
  <c r="H10" i="1"/>
  <c r="H11" i="1"/>
  <c r="H12" i="1"/>
  <c r="H13" i="1"/>
  <c r="H14" i="1"/>
  <c r="H15" i="1"/>
  <c r="H16" i="1"/>
  <c r="H17" i="1"/>
  <c r="H18" i="1"/>
  <c r="H7" i="1"/>
  <c r="M7" i="2" a="1"/>
  <c r="M7" i="2" s="1"/>
  <c r="H9" i="2"/>
  <c r="H10" i="2"/>
  <c r="H11" i="2"/>
  <c r="H12" i="2"/>
  <c r="H13" i="2"/>
  <c r="H8" i="2"/>
  <c r="H7" i="2"/>
  <c r="J14" i="2"/>
  <c r="L8" i="2"/>
  <c r="L9" i="2" s="1"/>
  <c r="L10" i="2" s="1"/>
  <c r="K2" i="2"/>
  <c r="E10" i="2"/>
  <c r="E11" i="2" s="1"/>
  <c r="E12" i="2" s="1"/>
  <c r="E13" i="2" s="1"/>
  <c r="E9" i="2"/>
  <c r="E8" i="2"/>
  <c r="D2" i="2"/>
  <c r="D3" i="2" s="1"/>
  <c r="C14" i="2"/>
  <c r="U4" i="1"/>
  <c r="U3" i="1"/>
  <c r="T4" i="1"/>
  <c r="T3" i="1"/>
  <c r="U2" i="1"/>
  <c r="T2" i="1"/>
  <c r="V4" i="1"/>
  <c r="V3" i="1"/>
  <c r="V2" i="1"/>
  <c r="P4" i="1" l="1"/>
  <c r="O18" i="1"/>
  <c r="L18" i="1" s="1"/>
  <c r="O14" i="1"/>
  <c r="L14" i="1" s="1"/>
  <c r="O10" i="1"/>
  <c r="L10" i="1" s="1"/>
  <c r="M17" i="1"/>
  <c r="O17" i="1"/>
  <c r="L17" i="1" s="1"/>
  <c r="M13" i="1"/>
  <c r="O13" i="1"/>
  <c r="L13" i="1" s="1"/>
  <c r="M9" i="1"/>
  <c r="O9" i="1"/>
  <c r="L9" i="1" s="1"/>
  <c r="M16" i="1"/>
  <c r="O16" i="1"/>
  <c r="L16" i="1" s="1"/>
  <c r="O12" i="1"/>
  <c r="L12" i="1" s="1"/>
  <c r="O8" i="1"/>
  <c r="L8" i="1" s="1"/>
  <c r="O15" i="1"/>
  <c r="L15" i="1" s="1"/>
  <c r="M11" i="1"/>
  <c r="O11" i="1"/>
  <c r="L11" i="1" s="1"/>
  <c r="M7" i="1"/>
  <c r="O7" i="1"/>
  <c r="M10" i="2"/>
  <c r="M13" i="2"/>
  <c r="M9" i="2"/>
  <c r="M12" i="2"/>
  <c r="M8" i="2"/>
  <c r="M11" i="2"/>
  <c r="L11" i="2"/>
  <c r="L12" i="2" s="1"/>
  <c r="L13" i="2" s="1"/>
  <c r="K3" i="2"/>
  <c r="M12" i="1"/>
  <c r="M15" i="1"/>
  <c r="M8" i="1"/>
  <c r="M18" i="1"/>
  <c r="M14" i="1"/>
  <c r="M10" i="1"/>
  <c r="N16" i="1" l="1"/>
  <c r="N13" i="1"/>
  <c r="N17" i="1"/>
  <c r="N11" i="1"/>
  <c r="L7" i="1"/>
  <c r="L4" i="1" s="1"/>
  <c r="O4" i="1"/>
  <c r="N14" i="1"/>
  <c r="N12" i="1"/>
  <c r="N18" i="1"/>
  <c r="N10" i="1"/>
  <c r="N8" i="1"/>
  <c r="N15" i="1"/>
  <c r="N9" i="1"/>
  <c r="K4" i="2" a="1"/>
  <c r="K4" i="2" s="1"/>
  <c r="K5" i="2" s="1"/>
  <c r="M4" i="1"/>
  <c r="N7" i="1" l="1"/>
  <c r="N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<sst xmlns="http://schemas.openxmlformats.org/spreadsheetml/2006/main" count="72" uniqueCount="64">
  <si>
    <t>Trip</t>
  </si>
  <si>
    <t>Road - Pyrenees</t>
  </si>
  <si>
    <t>Road - Alps</t>
  </si>
  <si>
    <t>Road - Provence</t>
  </si>
  <si>
    <t>Road - Raid Alpine</t>
  </si>
  <si>
    <t>Road - Tour de Suisse</t>
  </si>
  <si>
    <t>Road - St Malo to Nice</t>
  </si>
  <si>
    <t>Road - Corsica</t>
  </si>
  <si>
    <t>MTB - Trans Pyrenees</t>
  </si>
  <si>
    <t>MTB - Morocco</t>
  </si>
  <si>
    <t>MTB - Picos de Europa</t>
  </si>
  <si>
    <t>Road - Dolomites</t>
  </si>
  <si>
    <t>Days</t>
  </si>
  <si>
    <t>MTB - Cuba</t>
  </si>
  <si>
    <t>No. of guides</t>
  </si>
  <si>
    <t>Expected total cost</t>
  </si>
  <si>
    <t>Expected total profit</t>
  </si>
  <si>
    <t>Expected total income</t>
  </si>
  <si>
    <t>Price                (per client)</t>
  </si>
  <si>
    <t>totals:</t>
  </si>
  <si>
    <t>Description of Trip</t>
  </si>
  <si>
    <t>Cost of the Guides</t>
  </si>
  <si>
    <t>Min. clients</t>
  </si>
  <si>
    <t>Max. clients</t>
  </si>
  <si>
    <r>
      <rPr>
        <i/>
        <sz val="11"/>
        <color theme="1"/>
        <rFont val="Calibri"/>
        <family val="2"/>
        <scheme val="minor"/>
      </rPr>
      <t>Expected</t>
    </r>
    <r>
      <rPr>
        <sz val="11"/>
        <color theme="1"/>
        <rFont val="Calibri"/>
        <family val="2"/>
        <scheme val="minor"/>
      </rPr>
      <t xml:space="preserve"> no. of clients</t>
    </r>
  </si>
  <si>
    <t>Cost of Food and Fuel</t>
  </si>
  <si>
    <t>Cost of Accommodation (per client)</t>
  </si>
  <si>
    <t xml:space="preserve">Copy of expected </t>
  </si>
  <si>
    <t>number  of clients</t>
  </si>
  <si>
    <t>Replication</t>
  </si>
  <si>
    <t>Cost</t>
  </si>
  <si>
    <t>Income</t>
  </si>
  <si>
    <t>Profit</t>
  </si>
  <si>
    <t>Average:</t>
  </si>
  <si>
    <t>Min:</t>
  </si>
  <si>
    <t>Max:</t>
  </si>
  <si>
    <t>Simulation Results</t>
  </si>
  <si>
    <t>RAND()Value:</t>
  </si>
  <si>
    <t>Number of people(sampled):</t>
  </si>
  <si>
    <t>Number ofpeople in the vehicle</t>
  </si>
  <si>
    <t>Observed frequency</t>
  </si>
  <si>
    <t>Individual 
probability</t>
  </si>
  <si>
    <t>Cumulative 
probablity</t>
  </si>
  <si>
    <t>Sum:</t>
  </si>
  <si>
    <t>Bins</t>
  </si>
  <si>
    <t>Corresponding Bin:</t>
  </si>
  <si>
    <t>Sampled value:</t>
  </si>
  <si>
    <t>labels</t>
  </si>
  <si>
    <t>Inputs</t>
  </si>
  <si>
    <t>% paid to guides when a trip does not run:</t>
  </si>
  <si>
    <t>% of accomodation charge paid when a trip does not run:</t>
  </si>
  <si>
    <t>Number of replications:</t>
  </si>
  <si>
    <t>(max=1000)</t>
  </si>
  <si>
    <t>Additioal Cost</t>
  </si>
  <si>
    <t>Max Cost</t>
  </si>
  <si>
    <t>Number of</t>
  </si>
  <si>
    <t>non-trips</t>
  </si>
  <si>
    <t>Max Accident Cost</t>
  </si>
  <si>
    <t>Non-running trips</t>
  </si>
  <si>
    <t>S</t>
  </si>
  <si>
    <t>% &lt; 120k</t>
  </si>
  <si>
    <t>% &gt; 200k</t>
  </si>
  <si>
    <t>Frequency</t>
  </si>
  <si>
    <t>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</si>
</sst>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£&quot;#,##0.00;[Red]\-&quot;£&quot;#,##0.00"/>
    <numFmt numFmtId="164" formatCode="&quot;£&quot;#,##0"/>
    <numFmt numFmtId="165" formatCode="&quot;£&quot;#,##0.00"/>
  </numFmts>
  <fonts count="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2" borderId="0" xfId="0" applyFill="1" applyBorder="1"/>
    <xf numFmtId="0" fontId="0" fillId="2" borderId="1" xfId="0" applyFill="1" applyBorder="1" applyAlignment="1">
      <alignment horizontal="center" wrapText="1"/>
    </xf>
    <xf numFmtId="0" fontId="0" fillId="2" borderId="0" xfId="0" applyFill="1" applyBorder="1" applyAlignment="1">
      <alignment horizontal="right"/>
    </xf>
    <xf numFmtId="164" fontId="0" fillId="0" borderId="2" xfId="0" applyNumberFormat="1" applyFill="1" applyBorder="1"/>
    <xf numFmtId="164" fontId="0" fillId="0" borderId="0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7" xfId="0" applyNumberFormat="1" applyFill="1" applyBorder="1"/>
    <xf numFmtId="164" fontId="0" fillId="0" borderId="8" xfId="0" applyNumberFormat="1" applyFill="1" applyBorder="1"/>
    <xf numFmtId="164" fontId="0" fillId="0" borderId="1" xfId="0" applyNumberFormat="1" applyFill="1" applyBorder="1"/>
    <xf numFmtId="164" fontId="0" fillId="0" borderId="9" xfId="0" applyNumberFormat="1" applyFill="1" applyBorder="1"/>
    <xf numFmtId="164" fontId="0" fillId="0" borderId="10" xfId="0" applyNumberFormat="1" applyFill="1" applyBorder="1"/>
    <xf numFmtId="164" fontId="0" fillId="0" borderId="11" xfId="0" applyNumberFormat="1" applyFill="1" applyBorder="1"/>
    <xf numFmtId="164" fontId="0" fillId="0" borderId="12" xfId="0" applyNumberFormat="1" applyFill="1" applyBorder="1"/>
    <xf numFmtId="0" fontId="0" fillId="2" borderId="1" xfId="0" applyFill="1" applyBorder="1"/>
    <xf numFmtId="0" fontId="3" fillId="2" borderId="0" xfId="0" applyFont="1" applyFill="1" applyBorder="1"/>
    <xf numFmtId="165" fontId="0" fillId="2" borderId="0" xfId="0" applyNumberFormat="1" applyFill="1" applyBorder="1"/>
    <xf numFmtId="165" fontId="0" fillId="0" borderId="0" xfId="0" applyNumberFormat="1" applyFill="1" applyBorder="1"/>
    <xf numFmtId="165" fontId="3" fillId="2" borderId="0" xfId="0" applyNumberFormat="1" applyFont="1" applyFill="1" applyBorder="1"/>
    <xf numFmtId="165" fontId="0" fillId="2" borderId="1" xfId="0" applyNumberFormat="1" applyFill="1" applyBorder="1"/>
    <xf numFmtId="165" fontId="0" fillId="0" borderId="0" xfId="0" applyNumberFormat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wrapText="1"/>
    </xf>
    <xf numFmtId="0" fontId="0" fillId="0" borderId="0" xfId="0" applyFill="1"/>
    <xf numFmtId="0" fontId="0" fillId="2" borderId="0" xfId="0" applyFill="1" applyBorder="1" applyAlignment="1">
      <alignment horizontal="center" wrapText="1"/>
    </xf>
    <xf numFmtId="40" fontId="0" fillId="2" borderId="0" xfId="0" applyNumberFormat="1" applyFill="1" applyBorder="1"/>
    <xf numFmtId="40" fontId="0" fillId="0" borderId="2" xfId="0" applyNumberFormat="1" applyFill="1" applyBorder="1"/>
    <xf numFmtId="40" fontId="0" fillId="2" borderId="1" xfId="0" applyNumberFormat="1" applyFill="1" applyBorder="1" applyAlignment="1">
      <alignment horizontal="center" wrapText="1"/>
    </xf>
    <xf numFmtId="40" fontId="0" fillId="0" borderId="0" xfId="0" applyNumberFormat="1" applyFill="1" applyBorder="1"/>
    <xf numFmtId="40" fontId="0" fillId="0" borderId="0" xfId="0" applyNumberFormat="1"/>
    <xf numFmtId="8" fontId="0" fillId="2" borderId="0" xfId="0" applyNumberFormat="1" applyFill="1" applyBorder="1"/>
    <xf numFmtId="8" fontId="0" fillId="0" borderId="0" xfId="0" applyNumberFormat="1" applyFill="1" applyBorder="1"/>
    <xf numFmtId="8" fontId="0" fillId="2" borderId="1" xfId="0" applyNumberFormat="1" applyFill="1" applyBorder="1"/>
    <xf numFmtId="8" fontId="0" fillId="0" borderId="0" xfId="0" applyNumberFormat="1"/>
    <xf numFmtId="0" fontId="0" fillId="4" borderId="12" xfId="0" applyFill="1" applyBorder="1"/>
    <xf numFmtId="0" fontId="1" fillId="2" borderId="0" xfId="0" applyFont="1" applyFill="1" applyBorder="1"/>
    <xf numFmtId="9" fontId="0" fillId="4" borderId="10" xfId="0" applyNumberFormat="1" applyFill="1" applyBorder="1"/>
    <xf numFmtId="9" fontId="0" fillId="4" borderId="11" xfId="0" applyNumberFormat="1" applyFill="1" applyBorder="1"/>
    <xf numFmtId="9" fontId="0" fillId="0" borderId="0" xfId="0" applyNumberFormat="1"/>
    <xf numFmtId="165" fontId="0" fillId="2" borderId="1" xfId="0" applyNumberFormat="1" applyFill="1" applyBorder="1" applyAlignment="1">
      <alignment wrapText="1"/>
    </xf>
    <xf numFmtId="165" fontId="0" fillId="0" borderId="2" xfId="0" applyNumberFormat="1" applyFill="1" applyBorder="1"/>
    <xf numFmtId="0" fontId="0" fillId="0" borderId="2" xfId="0" applyFill="1" applyBorder="1"/>
    <xf numFmtId="0" fontId="5" fillId="2" borderId="0" xfId="0" applyFont="1" applyFill="1" applyAlignment="1">
      <alignment horizontal="right"/>
    </xf>
    <xf numFmtId="0" fontId="0" fillId="0" borderId="7" xfId="0" applyBorder="1"/>
    <xf numFmtId="0" fontId="0" fillId="0" borderId="9" xfId="0" applyBorder="1"/>
    <xf numFmtId="165" fontId="0" fillId="0" borderId="0" xfId="0" applyNumberFormat="1" applyBorder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0" fontId="0" fillId="2" borderId="0" xfId="0" applyFill="1" applyAlignment="1">
      <alignment horizontal="right"/>
    </xf>
    <xf numFmtId="10" fontId="0" fillId="0" borderId="10" xfId="1" applyNumberFormat="1" applyFont="1" applyFill="1" applyBorder="1"/>
    <xf numFmtId="10" fontId="0" fillId="0" borderId="12" xfId="1" applyNumberFormat="1" applyFont="1" applyFill="1" applyBorder="1"/>
    <xf numFmtId="0" fontId="6" fillId="0" borderId="0" xfId="0" applyFont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84701912260967"/>
          <c:y val="0.11806725721784776"/>
          <c:w val="0.87548747315676467"/>
          <c:h val="0.60628740157480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strRef>
              <c:f>Model!$Z$7:$Z$17</c:f>
              <c:strCache>
                <c:ptCount val="11"/>
                <c:pt idx="0">
                  <c:v>&lt;130k</c:v>
                </c:pt>
                <c:pt idx="1">
                  <c:v>130k - 140k</c:v>
                </c:pt>
                <c:pt idx="2">
                  <c:v>140k - 150k</c:v>
                </c:pt>
                <c:pt idx="3">
                  <c:v>150k - 160k</c:v>
                </c:pt>
                <c:pt idx="4">
                  <c:v>160k - 170k</c:v>
                </c:pt>
                <c:pt idx="5">
                  <c:v>170k - 180k</c:v>
                </c:pt>
                <c:pt idx="6">
                  <c:v>180k - 190k</c:v>
                </c:pt>
                <c:pt idx="7">
                  <c:v>190k - 200k</c:v>
                </c:pt>
                <c:pt idx="8">
                  <c:v>200k - 210k</c:v>
                </c:pt>
                <c:pt idx="9">
                  <c:v>210k - 220k</c:v>
                </c:pt>
                <c:pt idx="10">
                  <c:v>220k +</c:v>
                </c:pt>
              </c:strCache>
            </c:strRef>
          </c:cat>
          <c:val>
            <c:numRef>
              <c:f>Model!$AB$7:$AB$17</c:f>
              <c:numCache>
                <c:formatCode>General</c:formatCode>
                <c:ptCount val="11"/>
                <c:pt idx="0">
                  <c:v>19</c:v>
                </c:pt>
                <c:pt idx="1">
                  <c:v>28</c:v>
                </c:pt>
                <c:pt idx="2">
                  <c:v>30</c:v>
                </c:pt>
                <c:pt idx="3">
                  <c:v>41</c:v>
                </c:pt>
                <c:pt idx="4">
                  <c:v>39</c:v>
                </c:pt>
                <c:pt idx="5">
                  <c:v>41</c:v>
                </c:pt>
                <c:pt idx="6">
                  <c:v>42</c:v>
                </c:pt>
                <c:pt idx="7">
                  <c:v>33</c:v>
                </c:pt>
                <c:pt idx="8">
                  <c:v>13</c:v>
                </c:pt>
                <c:pt idx="9">
                  <c:v>9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6-4617-9547-52D86982C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7"/>
        <c:axId val="116383744"/>
        <c:axId val="162693504"/>
      </c:barChart>
      <c:catAx>
        <c:axId val="11638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Profit (£</a:t>
                </a:r>
                <a:r>
                  <a:rPr lang="en-US" baseline="0"/>
                  <a:t>1,000s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79074312030014648"/>
              <c:y val="0.8879395031458744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400000"/>
          <a:lstStyle/>
          <a:p>
            <a:pPr>
              <a:defRPr/>
            </a:pPr>
            <a:endParaRPr lang="en-US"/>
          </a:p>
        </c:txPr>
        <c:crossAx val="162693504"/>
        <c:crosses val="autoZero"/>
        <c:auto val="1"/>
        <c:lblAlgn val="ctr"/>
        <c:lblOffset val="100"/>
        <c:noMultiLvlLbl val="0"/>
      </c:catAx>
      <c:valAx>
        <c:axId val="1626935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2069205635009909E-2"/>
              <c:y val="2.7738845144356955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6383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180976</xdr:colOff>
          <xdr:row>4</xdr:row>
          <xdr:rowOff>114300</xdr:rowOff>
        </xdr:from>
        <xdr:to>
          <xdr:col>17</xdr:col>
          <xdr:colOff>485776</xdr:colOff>
          <xdr:row>5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19</xdr:row>
      <xdr:rowOff>0</xdr:rowOff>
    </xdr:from>
    <xdr:to>
      <xdr:col>32</xdr:col>
      <xdr:colOff>190500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10240A-E2DD-4DC1-9BB7-601BC3822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ownloads\Skedaddle%20Simulation%20-%20complete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RiskSim Summary 2"/>
      <sheetName val="RiskSim Summary 1"/>
      <sheetName val="Sheet2"/>
      <sheetName val="Sheet3"/>
    </sheetNames>
    <sheetDataSet>
      <sheetData sheetId="0">
        <row r="7">
          <cell r="Z7" t="str">
            <v>&lt;130k</v>
          </cell>
          <cell r="AB7">
            <v>3</v>
          </cell>
        </row>
        <row r="8">
          <cell r="Z8" t="str">
            <v>130k - 140k</v>
          </cell>
          <cell r="AB8">
            <v>2</v>
          </cell>
        </row>
        <row r="9">
          <cell r="Z9" t="str">
            <v>140k - 150k</v>
          </cell>
          <cell r="AB9">
            <v>0</v>
          </cell>
        </row>
        <row r="10">
          <cell r="Z10" t="str">
            <v>150k - 160k</v>
          </cell>
          <cell r="AB10">
            <v>1</v>
          </cell>
        </row>
        <row r="11">
          <cell r="Z11" t="str">
            <v>160k - 170k</v>
          </cell>
          <cell r="AB11">
            <v>0</v>
          </cell>
        </row>
        <row r="12">
          <cell r="Z12" t="str">
            <v>170k - 180k</v>
          </cell>
          <cell r="AB12">
            <v>4</v>
          </cell>
        </row>
        <row r="13">
          <cell r="Z13" t="str">
            <v>180k - 190k</v>
          </cell>
          <cell r="AB13">
            <v>0</v>
          </cell>
        </row>
        <row r="14">
          <cell r="Z14" t="str">
            <v>190k - 200k</v>
          </cell>
          <cell r="AB14">
            <v>4</v>
          </cell>
        </row>
        <row r="15">
          <cell r="Z15" t="str">
            <v>200k - 210k</v>
          </cell>
          <cell r="AB15">
            <v>1</v>
          </cell>
        </row>
        <row r="16">
          <cell r="Z16" t="str">
            <v>210k - 220k</v>
          </cell>
          <cell r="AB16">
            <v>0</v>
          </cell>
        </row>
        <row r="17">
          <cell r="Z17" t="str">
            <v>220k +</v>
          </cell>
          <cell r="AB17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306"/>
  <sheetViews>
    <sheetView tabSelected="1" workbookViewId="0">
      <selection activeCell="F7" sqref="F7"/>
    </sheetView>
  </sheetViews>
  <sheetFormatPr defaultRowHeight="15" x14ac:dyDescent="0.25"/>
  <cols>
    <col min="1" max="1" width="4.42578125" customWidth="1"/>
    <col min="2" max="2" width="20.5703125" bestFit="1" customWidth="1"/>
    <col min="3" max="3" width="5" customWidth="1"/>
    <col min="4" max="4" width="10.85546875" customWidth="1"/>
    <col min="5" max="7" width="6.85546875" customWidth="1"/>
    <col min="8" max="8" width="8.85546875" customWidth="1"/>
    <col min="10" max="10" width="10.7109375" customWidth="1"/>
    <col min="11" max="11" width="15.140625" customWidth="1"/>
    <col min="13" max="13" width="10.140625" customWidth="1"/>
    <col min="14" max="14" width="10.42578125" style="36" customWidth="1"/>
    <col min="15" max="15" width="10.5703125" style="25" customWidth="1"/>
    <col min="16" max="18" width="8.5703125" customWidth="1"/>
    <col min="19" max="19" width="11" bestFit="1" customWidth="1"/>
    <col min="20" max="20" width="12.5703125" style="25" customWidth="1"/>
    <col min="21" max="21" width="12.85546875" style="25" customWidth="1"/>
    <col min="22" max="22" width="14.7109375" style="40" customWidth="1"/>
    <col min="23" max="25" width="8.5703125" customWidth="1"/>
    <col min="26" max="26" width="10.85546875" customWidth="1"/>
    <col min="27" max="27" width="9.140625" customWidth="1"/>
    <col min="28" max="30" width="8.5703125" customWidth="1"/>
  </cols>
  <sheetData>
    <row r="1" spans="1:36" x14ac:dyDescent="0.25">
      <c r="A1" s="3"/>
      <c r="B1" s="3"/>
      <c r="C1" s="3"/>
      <c r="D1" s="3"/>
      <c r="E1" s="3"/>
      <c r="F1" s="3"/>
      <c r="G1" s="3"/>
      <c r="H1" s="3"/>
      <c r="I1" s="20" t="s">
        <v>48</v>
      </c>
      <c r="J1" s="3"/>
      <c r="K1" s="3"/>
      <c r="L1" s="3"/>
      <c r="M1" s="3"/>
      <c r="N1" s="32"/>
      <c r="O1" s="21"/>
      <c r="P1" s="3"/>
      <c r="Q1" s="3"/>
      <c r="R1" s="3"/>
      <c r="S1" s="3"/>
      <c r="T1" s="21"/>
      <c r="U1" s="21"/>
      <c r="V1" s="37"/>
      <c r="W1" s="49" t="s">
        <v>59</v>
      </c>
      <c r="X1" s="55">
        <f>SUM(X7:X1006)</f>
        <v>175</v>
      </c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x14ac:dyDescent="0.25">
      <c r="A2" s="3"/>
      <c r="B2" s="3"/>
      <c r="C2" s="3"/>
      <c r="D2" s="3"/>
      <c r="E2" s="3"/>
      <c r="F2" s="3"/>
      <c r="G2" s="3"/>
      <c r="H2" s="5" t="s">
        <v>49</v>
      </c>
      <c r="I2" s="43">
        <v>0.25</v>
      </c>
      <c r="J2" s="3"/>
      <c r="K2" s="3"/>
      <c r="L2" s="3"/>
      <c r="M2" s="3"/>
      <c r="N2" s="32"/>
      <c r="O2" s="21"/>
      <c r="P2" s="3" t="s">
        <v>55</v>
      </c>
      <c r="Q2" s="3"/>
      <c r="R2" s="3"/>
      <c r="S2" s="3" t="s">
        <v>33</v>
      </c>
      <c r="T2" s="22">
        <f>AVERAGE(T7:T106)</f>
        <v>110742.44961830106</v>
      </c>
      <c r="U2" s="22">
        <f>AVERAGE(U7:U106)</f>
        <v>275388.09999999998</v>
      </c>
      <c r="V2" s="38">
        <f>AVERAGE(V7:V106)</f>
        <v>164645.65038169897</v>
      </c>
      <c r="W2" s="52">
        <f t="shared" ref="W2:X2" si="0">AVERAGE(W7:W1006)</f>
        <v>163.85929685879282</v>
      </c>
      <c r="X2" s="53">
        <f t="shared" si="0"/>
        <v>0.58333333333333337</v>
      </c>
      <c r="Y2" s="56" t="s">
        <v>60</v>
      </c>
      <c r="Z2" s="57">
        <f>COUNTIF(V7:V1006,"&lt;120000")/COUNT(V7:V1006)</f>
        <v>2.3333333333333334E-2</v>
      </c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x14ac:dyDescent="0.25">
      <c r="A3" s="3"/>
      <c r="B3" s="3"/>
      <c r="C3" s="3"/>
      <c r="D3" s="3"/>
      <c r="E3" s="3"/>
      <c r="F3" s="3"/>
      <c r="G3" s="3"/>
      <c r="H3" s="5" t="s">
        <v>50</v>
      </c>
      <c r="I3" s="44">
        <v>0.2</v>
      </c>
      <c r="J3" s="3"/>
      <c r="K3" s="3"/>
      <c r="L3" s="3"/>
      <c r="M3" s="3"/>
      <c r="N3" s="32"/>
      <c r="O3" s="21" t="s">
        <v>54</v>
      </c>
      <c r="P3" s="3" t="s">
        <v>56</v>
      </c>
      <c r="Q3" s="3"/>
      <c r="R3" s="3"/>
      <c r="S3" s="3" t="s">
        <v>34</v>
      </c>
      <c r="T3" s="22">
        <f>MIN(T7:T106)</f>
        <v>85065.277584844836</v>
      </c>
      <c r="U3" s="22">
        <f>MIN(U7:U106)</f>
        <v>181845</v>
      </c>
      <c r="V3" s="38">
        <f>MIN(V7:V106)</f>
        <v>96779.722415155164</v>
      </c>
      <c r="W3" s="54">
        <f t="shared" ref="W3:X3" si="1">MIN(W7:W1006)</f>
        <v>0</v>
      </c>
      <c r="X3" s="55">
        <f t="shared" si="1"/>
        <v>0</v>
      </c>
      <c r="Y3" s="56" t="s">
        <v>61</v>
      </c>
      <c r="Z3" s="58">
        <f>COUNTIF(V7:V1006,"&gt;200000")/COUNT(V7:V1006)</f>
        <v>0.09</v>
      </c>
      <c r="AA3" s="3" t="s">
        <v>27</v>
      </c>
      <c r="AB3" s="3"/>
      <c r="AC3" s="3"/>
      <c r="AD3" s="3"/>
      <c r="AE3" s="3"/>
      <c r="AF3" s="3"/>
      <c r="AG3" s="3"/>
      <c r="AH3" s="3"/>
      <c r="AI3" s="3"/>
      <c r="AJ3" s="3"/>
    </row>
    <row r="4" spans="1:36" x14ac:dyDescent="0.25">
      <c r="A4" s="3"/>
      <c r="B4" s="3"/>
      <c r="C4" s="3"/>
      <c r="D4" s="3"/>
      <c r="E4" s="3"/>
      <c r="F4" s="3"/>
      <c r="G4" s="3"/>
      <c r="H4" s="5" t="s">
        <v>51</v>
      </c>
      <c r="I4" s="41">
        <v>300</v>
      </c>
      <c r="J4" s="42" t="s">
        <v>52</v>
      </c>
      <c r="K4" s="5" t="s">
        <v>19</v>
      </c>
      <c r="L4" s="6">
        <f ca="1">SUM(L7:L18)</f>
        <v>117994</v>
      </c>
      <c r="M4" s="6">
        <f t="shared" ref="M4:N4" ca="1" si="2">SUM(M7:M18)</f>
        <v>308425</v>
      </c>
      <c r="N4" s="33">
        <f t="shared" ca="1" si="2"/>
        <v>190431</v>
      </c>
      <c r="O4" s="47">
        <f ca="1">MAX(O7:O18)</f>
        <v>0</v>
      </c>
      <c r="P4" s="48">
        <f ca="1">COUNTIF(H7:H18,0)</f>
        <v>1</v>
      </c>
      <c r="Q4" s="3"/>
      <c r="R4" s="3"/>
      <c r="S4" s="3" t="s">
        <v>35</v>
      </c>
      <c r="T4" s="22">
        <f>MAX(T7:T106)</f>
        <v>131456.47266334185</v>
      </c>
      <c r="U4" s="22">
        <f>MAX(U7:U106)</f>
        <v>357030</v>
      </c>
      <c r="V4" s="38">
        <f>MAX(V7:V106)</f>
        <v>226806</v>
      </c>
      <c r="W4" s="54">
        <f t="shared" ref="W4:X4" si="3">MAX(W7:W1006)</f>
        <v>1910.2073966818002</v>
      </c>
      <c r="X4" s="55">
        <f t="shared" si="3"/>
        <v>3</v>
      </c>
      <c r="Y4" s="3"/>
      <c r="Z4" s="3"/>
      <c r="AA4" s="3" t="s">
        <v>28</v>
      </c>
      <c r="AB4" s="3"/>
      <c r="AC4" s="3"/>
      <c r="AD4" s="3"/>
      <c r="AE4" s="3"/>
      <c r="AF4" s="3"/>
      <c r="AG4" s="3"/>
      <c r="AH4" s="3"/>
      <c r="AI4" s="3"/>
      <c r="AJ4" s="3"/>
    </row>
    <row r="5" spans="1:36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2"/>
      <c r="O5" s="21"/>
      <c r="P5" s="3"/>
      <c r="Q5" s="3"/>
      <c r="R5" s="3"/>
      <c r="S5" s="3"/>
      <c r="T5" s="23" t="s">
        <v>36</v>
      </c>
      <c r="U5" s="21"/>
      <c r="V5" s="37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45" customHeight="1" x14ac:dyDescent="0.25">
      <c r="A6" s="4" t="s">
        <v>0</v>
      </c>
      <c r="B6" s="4" t="s">
        <v>20</v>
      </c>
      <c r="C6" s="4" t="s">
        <v>12</v>
      </c>
      <c r="D6" s="4" t="s">
        <v>18</v>
      </c>
      <c r="E6" s="4" t="s">
        <v>14</v>
      </c>
      <c r="F6" s="4" t="s">
        <v>22</v>
      </c>
      <c r="G6" s="4" t="s">
        <v>23</v>
      </c>
      <c r="H6" s="4" t="s">
        <v>24</v>
      </c>
      <c r="I6" s="4" t="s">
        <v>21</v>
      </c>
      <c r="J6" s="4" t="s">
        <v>25</v>
      </c>
      <c r="K6" s="4" t="s">
        <v>26</v>
      </c>
      <c r="L6" s="31" t="s">
        <v>15</v>
      </c>
      <c r="M6" s="4" t="s">
        <v>17</v>
      </c>
      <c r="N6" s="34" t="s">
        <v>16</v>
      </c>
      <c r="O6" s="46" t="s">
        <v>53</v>
      </c>
      <c r="P6" s="19"/>
      <c r="Q6" s="19"/>
      <c r="R6" s="19"/>
      <c r="S6" s="19" t="s">
        <v>29</v>
      </c>
      <c r="T6" s="24" t="s">
        <v>30</v>
      </c>
      <c r="U6" s="24" t="s">
        <v>31</v>
      </c>
      <c r="V6" s="39" t="s">
        <v>32</v>
      </c>
      <c r="W6" s="4" t="s">
        <v>57</v>
      </c>
      <c r="X6" s="4" t="s">
        <v>58</v>
      </c>
      <c r="Y6" s="19"/>
      <c r="Z6" s="19" t="s">
        <v>47</v>
      </c>
      <c r="AA6" s="19" t="s">
        <v>44</v>
      </c>
      <c r="AB6" s="19" t="s">
        <v>62</v>
      </c>
      <c r="AC6" s="19"/>
      <c r="AD6" s="19"/>
      <c r="AE6" s="19"/>
      <c r="AF6" s="19"/>
      <c r="AG6" s="19"/>
      <c r="AH6" s="19"/>
      <c r="AI6" s="19"/>
      <c r="AJ6" s="19"/>
    </row>
    <row r="7" spans="1:36" x14ac:dyDescent="0.25">
      <c r="A7" s="1">
        <v>1</v>
      </c>
      <c r="B7" t="s">
        <v>1</v>
      </c>
      <c r="C7">
        <v>10</v>
      </c>
      <c r="D7" s="16">
        <v>1370</v>
      </c>
      <c r="E7">
        <v>3</v>
      </c>
      <c r="F7">
        <v>6</v>
      </c>
      <c r="G7">
        <v>24</v>
      </c>
      <c r="H7">
        <f ca="1">IF(RAND()&lt;0.05,0,RANDBETWEEN(F7,G7))</f>
        <v>18</v>
      </c>
      <c r="I7" s="8">
        <v>2400</v>
      </c>
      <c r="J7" s="9">
        <v>700</v>
      </c>
      <c r="K7" s="9">
        <v>350</v>
      </c>
      <c r="L7" s="10">
        <f ca="1">IF(H7=0,$I$2*I7+$I$3*K7*F7,(H7*K7)+J7+I7+O7)</f>
        <v>9400</v>
      </c>
      <c r="M7" s="7">
        <f ca="1">H7*D7</f>
        <v>24660</v>
      </c>
      <c r="N7" s="35">
        <f ca="1">M7-L7</f>
        <v>15260</v>
      </c>
      <c r="O7" s="25">
        <f ca="1">IF(AND(H7&gt;0,RAND()&lt;0.05),-300*LN(RAND()),0)</f>
        <v>0</v>
      </c>
      <c r="P7" s="2"/>
      <c r="S7">
        <v>1</v>
      </c>
      <c r="T7" s="25">
        <v>119220</v>
      </c>
      <c r="U7" s="25">
        <v>313380</v>
      </c>
      <c r="V7" s="40">
        <v>194160</v>
      </c>
      <c r="W7">
        <v>0</v>
      </c>
      <c r="X7">
        <v>1</v>
      </c>
      <c r="Z7" s="59" t="str">
        <f>"&lt;"&amp;AA7/1000&amp;"k"</f>
        <v>&lt;130k</v>
      </c>
      <c r="AA7" s="60">
        <v>130000</v>
      </c>
      <c r="AB7" s="61">
        <f t="array" ref="AB7:AB17">FREQUENCY(V7:V1006,AA7:AA17)</f>
        <v>19</v>
      </c>
    </row>
    <row r="8" spans="1:36" x14ac:dyDescent="0.25">
      <c r="A8" s="1">
        <v>2</v>
      </c>
      <c r="B8" t="s">
        <v>2</v>
      </c>
      <c r="C8">
        <v>8</v>
      </c>
      <c r="D8" s="17">
        <v>1275</v>
      </c>
      <c r="E8">
        <v>4</v>
      </c>
      <c r="F8">
        <v>8</v>
      </c>
      <c r="G8">
        <v>30</v>
      </c>
      <c r="H8">
        <f t="shared" ref="H8:H18" ca="1" si="4">IF(RAND()&lt;0.05,0,RANDBETWEEN(F8,G8))</f>
        <v>14</v>
      </c>
      <c r="I8" s="11">
        <v>2560</v>
      </c>
      <c r="J8" s="7">
        <v>560</v>
      </c>
      <c r="K8" s="7">
        <v>320</v>
      </c>
      <c r="L8" s="12">
        <f t="shared" ref="L8:L18" ca="1" si="5">IF(H8=0,$I$2*I8+$I$3*K8*F8,(H8*K8)+J8+I8+O8)</f>
        <v>7600</v>
      </c>
      <c r="M8" s="7">
        <f t="shared" ref="M8:M18" ca="1" si="6">H8*D8</f>
        <v>17850</v>
      </c>
      <c r="N8" s="35">
        <f t="shared" ref="N8:N18" ca="1" si="7">M8-L8</f>
        <v>10250</v>
      </c>
      <c r="O8" s="25">
        <f t="shared" ref="O8:O18" ca="1" si="8">IF(AND(H8&gt;0,RAND()&lt;0.05),-300*LN(RAND()),0)</f>
        <v>0</v>
      </c>
      <c r="P8" s="2"/>
      <c r="S8">
        <v>2</v>
      </c>
      <c r="T8" s="25">
        <v>105036</v>
      </c>
      <c r="U8" s="25">
        <v>253475</v>
      </c>
      <c r="V8" s="40">
        <v>148439</v>
      </c>
      <c r="W8">
        <v>0</v>
      </c>
      <c r="X8">
        <v>1</v>
      </c>
      <c r="Z8" s="59" t="str">
        <f>AA7/1000&amp;"k - "&amp;AA8/1000&amp;"k"</f>
        <v>130k - 140k</v>
      </c>
      <c r="AA8" s="62">
        <v>140000</v>
      </c>
      <c r="AB8" s="50">
        <v>28</v>
      </c>
    </row>
    <row r="9" spans="1:36" x14ac:dyDescent="0.25">
      <c r="A9" s="1">
        <v>3</v>
      </c>
      <c r="B9" t="s">
        <v>3</v>
      </c>
      <c r="C9">
        <v>8</v>
      </c>
      <c r="D9" s="17">
        <v>1350</v>
      </c>
      <c r="E9">
        <v>4</v>
      </c>
      <c r="F9">
        <v>8</v>
      </c>
      <c r="G9">
        <v>30</v>
      </c>
      <c r="H9">
        <f t="shared" ca="1" si="4"/>
        <v>16</v>
      </c>
      <c r="I9" s="11">
        <v>2560</v>
      </c>
      <c r="J9" s="7">
        <v>560</v>
      </c>
      <c r="K9" s="7">
        <v>360</v>
      </c>
      <c r="L9" s="12">
        <f t="shared" ca="1" si="5"/>
        <v>8880</v>
      </c>
      <c r="M9" s="7">
        <f t="shared" ca="1" si="6"/>
        <v>21600</v>
      </c>
      <c r="N9" s="35">
        <f t="shared" ca="1" si="7"/>
        <v>12720</v>
      </c>
      <c r="O9" s="25">
        <f t="shared" ca="1" si="8"/>
        <v>0</v>
      </c>
      <c r="P9" s="2"/>
      <c r="S9">
        <v>3</v>
      </c>
      <c r="T9" s="25">
        <v>98492.184979139667</v>
      </c>
      <c r="U9" s="25">
        <v>242240</v>
      </c>
      <c r="V9" s="40">
        <v>143747.81502086035</v>
      </c>
      <c r="W9">
        <v>331.18497913967087</v>
      </c>
      <c r="X9">
        <v>3</v>
      </c>
      <c r="Z9" s="59" t="str">
        <f t="shared" ref="Z9:Z16" si="9">AA8/1000&amp;"k - "&amp;AA9/1000&amp;"k"</f>
        <v>140k - 150k</v>
      </c>
      <c r="AA9" s="62">
        <v>150000</v>
      </c>
      <c r="AB9" s="50">
        <v>30</v>
      </c>
    </row>
    <row r="10" spans="1:36" x14ac:dyDescent="0.25">
      <c r="A10" s="1">
        <v>4</v>
      </c>
      <c r="B10" t="s">
        <v>4</v>
      </c>
      <c r="C10">
        <v>9</v>
      </c>
      <c r="D10" s="17">
        <v>1425</v>
      </c>
      <c r="E10">
        <v>3</v>
      </c>
      <c r="F10">
        <v>6</v>
      </c>
      <c r="G10">
        <v>20</v>
      </c>
      <c r="H10">
        <f t="shared" ca="1" si="4"/>
        <v>8</v>
      </c>
      <c r="I10" s="11">
        <v>2160</v>
      </c>
      <c r="J10" s="7">
        <v>630</v>
      </c>
      <c r="K10" s="7">
        <v>315</v>
      </c>
      <c r="L10" s="12">
        <f t="shared" ca="1" si="5"/>
        <v>5310</v>
      </c>
      <c r="M10" s="7">
        <f t="shared" ca="1" si="6"/>
        <v>11400</v>
      </c>
      <c r="N10" s="35">
        <f t="shared" ca="1" si="7"/>
        <v>6090</v>
      </c>
      <c r="O10" s="25">
        <f t="shared" ca="1" si="8"/>
        <v>0</v>
      </c>
      <c r="P10" s="2"/>
      <c r="S10">
        <v>4</v>
      </c>
      <c r="T10" s="25">
        <v>110811.96878822143</v>
      </c>
      <c r="U10" s="25">
        <v>272320</v>
      </c>
      <c r="V10" s="40">
        <v>161508.03121177855</v>
      </c>
      <c r="W10">
        <v>934.91589035178788</v>
      </c>
      <c r="X10">
        <v>0</v>
      </c>
      <c r="Z10" s="59" t="str">
        <f t="shared" si="9"/>
        <v>150k - 160k</v>
      </c>
      <c r="AA10" s="62">
        <v>160000</v>
      </c>
      <c r="AB10" s="50">
        <v>41</v>
      </c>
    </row>
    <row r="11" spans="1:36" x14ac:dyDescent="0.25">
      <c r="A11" s="1">
        <v>5</v>
      </c>
      <c r="B11" t="s">
        <v>5</v>
      </c>
      <c r="C11">
        <v>13</v>
      </c>
      <c r="D11" s="17">
        <v>2150</v>
      </c>
      <c r="E11">
        <v>3</v>
      </c>
      <c r="F11">
        <v>6</v>
      </c>
      <c r="G11">
        <v>24</v>
      </c>
      <c r="H11">
        <f t="shared" ca="1" si="4"/>
        <v>15</v>
      </c>
      <c r="I11" s="11">
        <v>3120</v>
      </c>
      <c r="J11" s="7">
        <v>910</v>
      </c>
      <c r="K11" s="7">
        <v>650</v>
      </c>
      <c r="L11" s="12">
        <f t="shared" ca="1" si="5"/>
        <v>13780</v>
      </c>
      <c r="M11" s="7">
        <f t="shared" ca="1" si="6"/>
        <v>32250</v>
      </c>
      <c r="N11" s="35">
        <f t="shared" ca="1" si="7"/>
        <v>18470</v>
      </c>
      <c r="O11" s="25">
        <f t="shared" ca="1" si="8"/>
        <v>0</v>
      </c>
      <c r="P11" s="2"/>
      <c r="S11">
        <v>5</v>
      </c>
      <c r="T11" s="25">
        <v>109570</v>
      </c>
      <c r="U11" s="25">
        <v>262430</v>
      </c>
      <c r="V11" s="40">
        <v>152860</v>
      </c>
      <c r="W11">
        <v>0</v>
      </c>
      <c r="X11">
        <v>0</v>
      </c>
      <c r="Z11" s="59" t="str">
        <f t="shared" si="9"/>
        <v>160k - 170k</v>
      </c>
      <c r="AA11" s="62">
        <v>170000</v>
      </c>
      <c r="AB11" s="50">
        <v>39</v>
      </c>
    </row>
    <row r="12" spans="1:36" x14ac:dyDescent="0.25">
      <c r="A12" s="1">
        <v>6</v>
      </c>
      <c r="B12" t="s">
        <v>6</v>
      </c>
      <c r="C12">
        <v>16</v>
      </c>
      <c r="D12" s="17">
        <v>2350</v>
      </c>
      <c r="E12">
        <v>3</v>
      </c>
      <c r="F12">
        <v>6</v>
      </c>
      <c r="G12">
        <v>24</v>
      </c>
      <c r="H12">
        <f t="shared" ca="1" si="4"/>
        <v>15</v>
      </c>
      <c r="I12" s="11">
        <v>3840</v>
      </c>
      <c r="J12" s="7">
        <v>1120</v>
      </c>
      <c r="K12" s="7">
        <v>560</v>
      </c>
      <c r="L12" s="12">
        <f t="shared" ca="1" si="5"/>
        <v>13360</v>
      </c>
      <c r="M12" s="7">
        <f t="shared" ca="1" si="6"/>
        <v>35250</v>
      </c>
      <c r="N12" s="35">
        <f t="shared" ca="1" si="7"/>
        <v>21890</v>
      </c>
      <c r="O12" s="25">
        <f t="shared" ca="1" si="8"/>
        <v>0</v>
      </c>
      <c r="P12" s="2"/>
      <c r="S12">
        <v>6</v>
      </c>
      <c r="T12" s="25">
        <v>102265.55166772231</v>
      </c>
      <c r="U12" s="25">
        <v>254975</v>
      </c>
      <c r="V12" s="40">
        <v>152709.44833227768</v>
      </c>
      <c r="W12">
        <v>1081.5516677223095</v>
      </c>
      <c r="X12">
        <v>2</v>
      </c>
      <c r="Z12" s="59" t="str">
        <f t="shared" si="9"/>
        <v>170k - 180k</v>
      </c>
      <c r="AA12" s="62">
        <v>180000</v>
      </c>
      <c r="AB12" s="50">
        <v>41</v>
      </c>
    </row>
    <row r="13" spans="1:36" x14ac:dyDescent="0.25">
      <c r="A13" s="1">
        <v>7</v>
      </c>
      <c r="B13" t="s">
        <v>7</v>
      </c>
      <c r="C13">
        <v>12</v>
      </c>
      <c r="D13" s="17">
        <v>1890</v>
      </c>
      <c r="E13">
        <v>4</v>
      </c>
      <c r="F13">
        <v>8</v>
      </c>
      <c r="G13">
        <v>30</v>
      </c>
      <c r="H13">
        <f t="shared" ca="1" si="4"/>
        <v>29</v>
      </c>
      <c r="I13" s="11">
        <v>3840</v>
      </c>
      <c r="J13" s="7">
        <v>840</v>
      </c>
      <c r="K13" s="7">
        <v>360</v>
      </c>
      <c r="L13" s="12">
        <f t="shared" ca="1" si="5"/>
        <v>15120</v>
      </c>
      <c r="M13" s="7">
        <f t="shared" ca="1" si="6"/>
        <v>54810</v>
      </c>
      <c r="N13" s="35">
        <f t="shared" ca="1" si="7"/>
        <v>39690</v>
      </c>
      <c r="O13" s="25">
        <f t="shared" ca="1" si="8"/>
        <v>0</v>
      </c>
      <c r="P13" s="2"/>
      <c r="S13">
        <v>7</v>
      </c>
      <c r="T13" s="25">
        <v>107533.27253912174</v>
      </c>
      <c r="U13" s="25">
        <v>251615</v>
      </c>
      <c r="V13" s="40">
        <v>144081.72746087826</v>
      </c>
      <c r="W13">
        <v>118.27253912174598</v>
      </c>
      <c r="X13">
        <v>0</v>
      </c>
      <c r="Z13" s="59" t="str">
        <f t="shared" si="9"/>
        <v>180k - 190k</v>
      </c>
      <c r="AA13" s="62">
        <v>190000</v>
      </c>
      <c r="AB13" s="50">
        <v>42</v>
      </c>
    </row>
    <row r="14" spans="1:36" x14ac:dyDescent="0.25">
      <c r="A14" s="1">
        <v>8</v>
      </c>
      <c r="B14" t="s">
        <v>11</v>
      </c>
      <c r="C14">
        <v>8</v>
      </c>
      <c r="D14" s="17">
        <v>1350</v>
      </c>
      <c r="E14">
        <v>2</v>
      </c>
      <c r="F14">
        <v>6</v>
      </c>
      <c r="G14">
        <v>16</v>
      </c>
      <c r="H14">
        <f t="shared" ca="1" si="4"/>
        <v>14</v>
      </c>
      <c r="I14" s="11">
        <v>1280</v>
      </c>
      <c r="J14" s="7">
        <v>560</v>
      </c>
      <c r="K14" s="7">
        <v>360</v>
      </c>
      <c r="L14" s="12">
        <f t="shared" ca="1" si="5"/>
        <v>6880</v>
      </c>
      <c r="M14" s="7">
        <f t="shared" ca="1" si="6"/>
        <v>18900</v>
      </c>
      <c r="N14" s="35">
        <f t="shared" ca="1" si="7"/>
        <v>12020</v>
      </c>
      <c r="O14" s="25">
        <f t="shared" ca="1" si="8"/>
        <v>0</v>
      </c>
      <c r="P14" s="2"/>
      <c r="S14">
        <v>8</v>
      </c>
      <c r="T14" s="25">
        <v>106075</v>
      </c>
      <c r="U14" s="25">
        <v>251395</v>
      </c>
      <c r="V14" s="40">
        <v>145320</v>
      </c>
      <c r="W14">
        <v>0</v>
      </c>
      <c r="X14">
        <v>0</v>
      </c>
      <c r="Z14" s="59" t="str">
        <f t="shared" si="9"/>
        <v>190k - 200k</v>
      </c>
      <c r="AA14" s="62">
        <v>200000</v>
      </c>
      <c r="AB14" s="50">
        <v>33</v>
      </c>
    </row>
    <row r="15" spans="1:36" x14ac:dyDescent="0.25">
      <c r="A15" s="1">
        <v>9</v>
      </c>
      <c r="B15" t="s">
        <v>8</v>
      </c>
      <c r="C15">
        <v>15</v>
      </c>
      <c r="D15" s="17">
        <v>2400</v>
      </c>
      <c r="E15">
        <v>4</v>
      </c>
      <c r="F15">
        <v>8</v>
      </c>
      <c r="G15">
        <v>24</v>
      </c>
      <c r="H15">
        <f t="shared" ca="1" si="4"/>
        <v>19</v>
      </c>
      <c r="I15" s="11">
        <v>4800</v>
      </c>
      <c r="J15" s="7">
        <v>1050</v>
      </c>
      <c r="K15" s="7">
        <v>525</v>
      </c>
      <c r="L15" s="12">
        <f t="shared" ca="1" si="5"/>
        <v>15825</v>
      </c>
      <c r="M15" s="7">
        <f t="shared" ca="1" si="6"/>
        <v>45600</v>
      </c>
      <c r="N15" s="35">
        <f t="shared" ca="1" si="7"/>
        <v>29775</v>
      </c>
      <c r="O15" s="25">
        <f t="shared" ca="1" si="8"/>
        <v>0</v>
      </c>
      <c r="P15" s="2"/>
      <c r="S15">
        <v>9</v>
      </c>
      <c r="T15" s="25">
        <v>129589</v>
      </c>
      <c r="U15" s="25">
        <v>356395</v>
      </c>
      <c r="V15" s="40">
        <v>226806</v>
      </c>
      <c r="W15">
        <v>0</v>
      </c>
      <c r="X15">
        <v>1</v>
      </c>
      <c r="Z15" s="59" t="str">
        <f t="shared" si="9"/>
        <v>200k - 210k</v>
      </c>
      <c r="AA15" s="62">
        <v>210000</v>
      </c>
      <c r="AB15" s="50">
        <v>13</v>
      </c>
    </row>
    <row r="16" spans="1:36" x14ac:dyDescent="0.25">
      <c r="A16" s="1">
        <v>10</v>
      </c>
      <c r="B16" t="s">
        <v>9</v>
      </c>
      <c r="C16">
        <v>10</v>
      </c>
      <c r="D16" s="17">
        <v>895</v>
      </c>
      <c r="E16">
        <v>4</v>
      </c>
      <c r="F16">
        <v>12</v>
      </c>
      <c r="G16">
        <v>24</v>
      </c>
      <c r="H16">
        <f t="shared" ca="1" si="4"/>
        <v>23</v>
      </c>
      <c r="I16" s="11">
        <v>3200</v>
      </c>
      <c r="J16" s="7">
        <v>600</v>
      </c>
      <c r="K16" s="7">
        <v>300</v>
      </c>
      <c r="L16" s="12">
        <f t="shared" ca="1" si="5"/>
        <v>10700</v>
      </c>
      <c r="M16" s="7">
        <f t="shared" ca="1" si="6"/>
        <v>20585</v>
      </c>
      <c r="N16" s="35">
        <f t="shared" ca="1" si="7"/>
        <v>9885</v>
      </c>
      <c r="O16" s="25">
        <f t="shared" ca="1" si="8"/>
        <v>0</v>
      </c>
      <c r="P16" s="2"/>
      <c r="S16">
        <v>10</v>
      </c>
      <c r="T16" s="25">
        <v>108784.97812672143</v>
      </c>
      <c r="U16" s="25">
        <v>279555</v>
      </c>
      <c r="V16" s="40">
        <v>170770.02187327857</v>
      </c>
      <c r="W16">
        <v>465.61316078594899</v>
      </c>
      <c r="X16">
        <v>1</v>
      </c>
      <c r="Z16" s="59" t="str">
        <f t="shared" si="9"/>
        <v>210k - 220k</v>
      </c>
      <c r="AA16" s="62">
        <v>220000</v>
      </c>
      <c r="AB16" s="50">
        <v>9</v>
      </c>
    </row>
    <row r="17" spans="1:28" x14ac:dyDescent="0.25">
      <c r="A17" s="1">
        <v>11</v>
      </c>
      <c r="B17" t="s">
        <v>10</v>
      </c>
      <c r="C17">
        <v>7</v>
      </c>
      <c r="D17" s="17">
        <v>945</v>
      </c>
      <c r="E17">
        <v>3</v>
      </c>
      <c r="F17">
        <v>6</v>
      </c>
      <c r="G17">
        <v>20</v>
      </c>
      <c r="H17">
        <f t="shared" ca="1" si="4"/>
        <v>0</v>
      </c>
      <c r="I17" s="11">
        <v>1680</v>
      </c>
      <c r="J17" s="7">
        <v>490</v>
      </c>
      <c r="K17" s="7">
        <v>245</v>
      </c>
      <c r="L17" s="12">
        <f t="shared" ca="1" si="5"/>
        <v>714</v>
      </c>
      <c r="M17" s="7">
        <f t="shared" ca="1" si="6"/>
        <v>0</v>
      </c>
      <c r="N17" s="35">
        <f t="shared" ca="1" si="7"/>
        <v>-714</v>
      </c>
      <c r="O17" s="25">
        <f t="shared" ca="1" si="8"/>
        <v>0</v>
      </c>
      <c r="P17" s="2"/>
      <c r="S17">
        <v>11</v>
      </c>
      <c r="T17" s="25">
        <v>115666.58071156895</v>
      </c>
      <c r="U17" s="25">
        <v>288710</v>
      </c>
      <c r="V17" s="40">
        <v>173043.41928843106</v>
      </c>
      <c r="W17">
        <v>409.99273410833894</v>
      </c>
      <c r="X17">
        <v>0</v>
      </c>
      <c r="Z17" s="59" t="str">
        <f>AA16/1000&amp;"k +"</f>
        <v>220k +</v>
      </c>
      <c r="AA17" s="63" t="s">
        <v>63</v>
      </c>
      <c r="AB17" s="51">
        <v>5</v>
      </c>
    </row>
    <row r="18" spans="1:28" x14ac:dyDescent="0.25">
      <c r="A18" s="1">
        <v>12</v>
      </c>
      <c r="B18" t="s">
        <v>13</v>
      </c>
      <c r="C18">
        <v>15</v>
      </c>
      <c r="D18" s="18">
        <v>1595</v>
      </c>
      <c r="E18">
        <v>3</v>
      </c>
      <c r="F18">
        <v>6</v>
      </c>
      <c r="G18">
        <v>20</v>
      </c>
      <c r="H18">
        <f t="shared" ca="1" si="4"/>
        <v>16</v>
      </c>
      <c r="I18" s="13">
        <v>3600</v>
      </c>
      <c r="J18" s="14">
        <v>825</v>
      </c>
      <c r="K18" s="14">
        <v>375</v>
      </c>
      <c r="L18" s="15">
        <f t="shared" ca="1" si="5"/>
        <v>10425</v>
      </c>
      <c r="M18" s="7">
        <f t="shared" ca="1" si="6"/>
        <v>25520</v>
      </c>
      <c r="N18" s="35">
        <f t="shared" ca="1" si="7"/>
        <v>15095</v>
      </c>
      <c r="O18" s="25">
        <f t="shared" ca="1" si="8"/>
        <v>0</v>
      </c>
      <c r="P18" s="2"/>
      <c r="S18">
        <v>12</v>
      </c>
      <c r="T18" s="25">
        <v>112455</v>
      </c>
      <c r="U18" s="25">
        <v>273325</v>
      </c>
      <c r="V18" s="40">
        <v>160870</v>
      </c>
      <c r="W18">
        <v>0</v>
      </c>
      <c r="X18">
        <v>0</v>
      </c>
      <c r="AA18">
        <v>15</v>
      </c>
    </row>
    <row r="19" spans="1:28" x14ac:dyDescent="0.25">
      <c r="I19" s="7"/>
      <c r="J19" s="7"/>
      <c r="K19" s="7"/>
      <c r="P19" s="2"/>
      <c r="S19">
        <v>13</v>
      </c>
      <c r="T19" s="25">
        <v>119345.1798574795</v>
      </c>
      <c r="U19" s="25">
        <v>310950</v>
      </c>
      <c r="V19" s="40">
        <v>191604.8201425205</v>
      </c>
      <c r="W19">
        <v>82.179857479497144</v>
      </c>
      <c r="X19">
        <v>1</v>
      </c>
    </row>
    <row r="20" spans="1:28" x14ac:dyDescent="0.25">
      <c r="P20" s="2"/>
      <c r="S20">
        <v>14</v>
      </c>
      <c r="T20" s="25">
        <v>114195</v>
      </c>
      <c r="U20" s="25">
        <v>296660</v>
      </c>
      <c r="V20" s="40">
        <v>182465</v>
      </c>
      <c r="W20">
        <v>0</v>
      </c>
      <c r="X20">
        <v>1</v>
      </c>
    </row>
    <row r="21" spans="1:28" x14ac:dyDescent="0.25">
      <c r="F21" s="45"/>
      <c r="S21">
        <v>15</v>
      </c>
      <c r="T21" s="25">
        <v>108209.07499060934</v>
      </c>
      <c r="U21" s="25">
        <v>265950</v>
      </c>
      <c r="V21" s="40">
        <v>157740.92500939066</v>
      </c>
      <c r="W21">
        <v>34.074990609338627</v>
      </c>
      <c r="X21">
        <v>1</v>
      </c>
    </row>
    <row r="22" spans="1:28" x14ac:dyDescent="0.25">
      <c r="S22">
        <v>16</v>
      </c>
      <c r="T22" s="25">
        <v>107772.88997328907</v>
      </c>
      <c r="U22" s="25">
        <v>256540</v>
      </c>
      <c r="V22" s="40">
        <v>148767.11002671093</v>
      </c>
      <c r="W22">
        <v>142.88997328906498</v>
      </c>
      <c r="X22">
        <v>0</v>
      </c>
    </row>
    <row r="23" spans="1:28" x14ac:dyDescent="0.25">
      <c r="S23">
        <v>17</v>
      </c>
      <c r="T23" s="25">
        <v>120734</v>
      </c>
      <c r="U23" s="25">
        <v>314820</v>
      </c>
      <c r="V23" s="40">
        <v>194086</v>
      </c>
      <c r="W23">
        <v>0</v>
      </c>
      <c r="X23">
        <v>1</v>
      </c>
    </row>
    <row r="24" spans="1:28" x14ac:dyDescent="0.25">
      <c r="S24">
        <v>18</v>
      </c>
      <c r="T24" s="25">
        <v>107222.10491023262</v>
      </c>
      <c r="U24" s="25">
        <v>259555</v>
      </c>
      <c r="V24" s="40">
        <v>152332.89508976738</v>
      </c>
      <c r="W24">
        <v>81.104910232623496</v>
      </c>
      <c r="X24">
        <v>1</v>
      </c>
    </row>
    <row r="25" spans="1:28" x14ac:dyDescent="0.25">
      <c r="S25">
        <v>19</v>
      </c>
      <c r="T25" s="25">
        <v>115705</v>
      </c>
      <c r="U25" s="25">
        <v>291065</v>
      </c>
      <c r="V25" s="40">
        <v>175360</v>
      </c>
      <c r="W25">
        <v>0</v>
      </c>
      <c r="X25">
        <v>0</v>
      </c>
    </row>
    <row r="26" spans="1:28" x14ac:dyDescent="0.25">
      <c r="S26">
        <v>20</v>
      </c>
      <c r="T26" s="25">
        <v>96912.255555603158</v>
      </c>
      <c r="U26" s="25">
        <v>224585</v>
      </c>
      <c r="V26" s="40">
        <v>127672.74444439684</v>
      </c>
      <c r="W26">
        <v>508.74612300515457</v>
      </c>
      <c r="X26">
        <v>1</v>
      </c>
    </row>
    <row r="27" spans="1:28" x14ac:dyDescent="0.25">
      <c r="S27">
        <v>21</v>
      </c>
      <c r="T27" s="25">
        <v>118301.07606711728</v>
      </c>
      <c r="U27" s="25">
        <v>298465</v>
      </c>
      <c r="V27" s="40">
        <v>180163.92393288272</v>
      </c>
      <c r="W27">
        <v>246.07606711727109</v>
      </c>
      <c r="X27">
        <v>0</v>
      </c>
    </row>
    <row r="28" spans="1:28" x14ac:dyDescent="0.25">
      <c r="S28">
        <v>22</v>
      </c>
      <c r="T28" s="25">
        <v>115245</v>
      </c>
      <c r="U28" s="25">
        <v>285950</v>
      </c>
      <c r="V28" s="40">
        <v>170705</v>
      </c>
      <c r="W28">
        <v>0</v>
      </c>
      <c r="X28">
        <v>0</v>
      </c>
    </row>
    <row r="29" spans="1:28" x14ac:dyDescent="0.2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23</v>
      </c>
      <c r="T29" s="25">
        <v>111616.74734362356</v>
      </c>
      <c r="U29" s="25">
        <v>268195</v>
      </c>
      <c r="V29" s="40">
        <v>156578.25265637645</v>
      </c>
      <c r="W29">
        <v>246.74734362356148</v>
      </c>
      <c r="X29">
        <v>0</v>
      </c>
    </row>
    <row r="30" spans="1:28" x14ac:dyDescent="0.25">
      <c r="S30">
        <v>24</v>
      </c>
      <c r="T30" s="25">
        <v>105592</v>
      </c>
      <c r="U30" s="25">
        <v>260070</v>
      </c>
      <c r="V30" s="40">
        <v>154478</v>
      </c>
      <c r="W30">
        <v>0</v>
      </c>
      <c r="X30">
        <v>1</v>
      </c>
    </row>
    <row r="31" spans="1:28" x14ac:dyDescent="0.25">
      <c r="S31">
        <v>25</v>
      </c>
      <c r="T31" s="25">
        <v>106025</v>
      </c>
      <c r="U31" s="25">
        <v>260325</v>
      </c>
      <c r="V31" s="40">
        <v>154300</v>
      </c>
      <c r="W31">
        <v>0</v>
      </c>
      <c r="X31">
        <v>1</v>
      </c>
    </row>
    <row r="32" spans="1:28" x14ac:dyDescent="0.25">
      <c r="S32">
        <v>26</v>
      </c>
      <c r="T32" s="25">
        <v>120365</v>
      </c>
      <c r="U32" s="25">
        <v>314190</v>
      </c>
      <c r="V32" s="40">
        <v>193825</v>
      </c>
      <c r="W32">
        <v>0</v>
      </c>
      <c r="X32">
        <v>0</v>
      </c>
    </row>
    <row r="33" spans="19:24" x14ac:dyDescent="0.25">
      <c r="S33">
        <v>27</v>
      </c>
      <c r="T33" s="25">
        <v>117239.25763373818</v>
      </c>
      <c r="U33" s="25">
        <v>297335</v>
      </c>
      <c r="V33" s="40">
        <v>180095.74236626181</v>
      </c>
      <c r="W33">
        <v>94.257633738177432</v>
      </c>
      <c r="X33">
        <v>0</v>
      </c>
    </row>
    <row r="34" spans="19:24" x14ac:dyDescent="0.25">
      <c r="S34">
        <v>28</v>
      </c>
      <c r="T34" s="25">
        <v>100686</v>
      </c>
      <c r="U34" s="25">
        <v>233880</v>
      </c>
      <c r="V34" s="40">
        <v>133194</v>
      </c>
      <c r="W34">
        <v>0</v>
      </c>
      <c r="X34">
        <v>1</v>
      </c>
    </row>
    <row r="35" spans="19:24" x14ac:dyDescent="0.25">
      <c r="S35">
        <v>29</v>
      </c>
      <c r="T35" s="25">
        <v>96931.207396681799</v>
      </c>
      <c r="U35" s="25">
        <v>216385</v>
      </c>
      <c r="V35" s="40">
        <v>119453.7926033182</v>
      </c>
      <c r="W35">
        <v>1910.2073966818002</v>
      </c>
      <c r="X35">
        <v>1</v>
      </c>
    </row>
    <row r="36" spans="19:24" x14ac:dyDescent="0.25">
      <c r="S36">
        <v>30</v>
      </c>
      <c r="T36" s="25">
        <v>85065.277584844836</v>
      </c>
      <c r="U36" s="25">
        <v>181845</v>
      </c>
      <c r="V36" s="40">
        <v>96779.722415155164</v>
      </c>
      <c r="W36">
        <v>49.277584844832788</v>
      </c>
      <c r="X36">
        <v>2</v>
      </c>
    </row>
    <row r="37" spans="19:24" x14ac:dyDescent="0.25">
      <c r="S37">
        <v>31</v>
      </c>
      <c r="T37" s="25">
        <v>120240.43878432023</v>
      </c>
      <c r="U37" s="25">
        <v>318455</v>
      </c>
      <c r="V37" s="40">
        <v>198214.56121567977</v>
      </c>
      <c r="W37">
        <v>70.438784320235698</v>
      </c>
      <c r="X37">
        <v>0</v>
      </c>
    </row>
    <row r="38" spans="19:24" x14ac:dyDescent="0.25">
      <c r="S38">
        <v>32</v>
      </c>
      <c r="T38" s="25">
        <v>119816.49260397641</v>
      </c>
      <c r="U38" s="25">
        <v>315965</v>
      </c>
      <c r="V38" s="40">
        <v>196148.5073960236</v>
      </c>
      <c r="W38">
        <v>376.49260397640569</v>
      </c>
      <c r="X38">
        <v>1</v>
      </c>
    </row>
    <row r="39" spans="19:24" x14ac:dyDescent="0.25">
      <c r="S39">
        <v>33</v>
      </c>
      <c r="T39" s="25">
        <v>105274.72154942696</v>
      </c>
      <c r="U39" s="25">
        <v>244860</v>
      </c>
      <c r="V39" s="40">
        <v>139585.27845057304</v>
      </c>
      <c r="W39">
        <v>210.07873271494546</v>
      </c>
      <c r="X39">
        <v>0</v>
      </c>
    </row>
    <row r="40" spans="19:24" x14ac:dyDescent="0.25">
      <c r="S40">
        <v>34</v>
      </c>
      <c r="T40" s="25">
        <v>131365</v>
      </c>
      <c r="U40" s="25">
        <v>356690</v>
      </c>
      <c r="V40" s="40">
        <v>225325</v>
      </c>
      <c r="W40">
        <v>0</v>
      </c>
      <c r="X40">
        <v>0</v>
      </c>
    </row>
    <row r="41" spans="19:24" x14ac:dyDescent="0.25">
      <c r="S41">
        <v>35</v>
      </c>
      <c r="T41" s="25">
        <v>106343</v>
      </c>
      <c r="U41" s="25">
        <v>248470</v>
      </c>
      <c r="V41" s="40">
        <v>142127</v>
      </c>
      <c r="W41">
        <v>0</v>
      </c>
      <c r="X41">
        <v>1</v>
      </c>
    </row>
    <row r="42" spans="19:24" x14ac:dyDescent="0.25">
      <c r="S42">
        <v>36</v>
      </c>
      <c r="T42" s="25">
        <v>108071</v>
      </c>
      <c r="U42" s="25">
        <v>258500</v>
      </c>
      <c r="V42" s="40">
        <v>150429</v>
      </c>
      <c r="W42">
        <v>0</v>
      </c>
      <c r="X42">
        <v>1</v>
      </c>
    </row>
    <row r="43" spans="19:24" x14ac:dyDescent="0.25">
      <c r="S43">
        <v>37</v>
      </c>
      <c r="T43" s="25">
        <v>115086.67668744603</v>
      </c>
      <c r="U43" s="25">
        <v>277555</v>
      </c>
      <c r="V43" s="40">
        <v>162468.32331255398</v>
      </c>
      <c r="W43">
        <v>454.8028520410985</v>
      </c>
      <c r="X43">
        <v>0</v>
      </c>
    </row>
    <row r="44" spans="19:24" x14ac:dyDescent="0.25">
      <c r="S44">
        <v>38</v>
      </c>
      <c r="T44" s="25">
        <v>102635</v>
      </c>
      <c r="U44" s="25">
        <v>240245</v>
      </c>
      <c r="V44" s="40">
        <v>137610</v>
      </c>
      <c r="W44">
        <v>0</v>
      </c>
      <c r="X44">
        <v>1</v>
      </c>
    </row>
    <row r="45" spans="19:24" x14ac:dyDescent="0.25">
      <c r="S45">
        <v>39</v>
      </c>
      <c r="T45" s="25">
        <v>119144.35797859111</v>
      </c>
      <c r="U45" s="25">
        <v>295355</v>
      </c>
      <c r="V45" s="40">
        <v>176210.64202140889</v>
      </c>
      <c r="W45">
        <v>331.81092687384796</v>
      </c>
      <c r="X45">
        <v>0</v>
      </c>
    </row>
    <row r="46" spans="19:24" x14ac:dyDescent="0.25">
      <c r="S46">
        <v>40</v>
      </c>
      <c r="T46" s="25">
        <v>115295</v>
      </c>
      <c r="U46" s="25">
        <v>282690</v>
      </c>
      <c r="V46" s="40">
        <v>167395</v>
      </c>
      <c r="W46">
        <v>0</v>
      </c>
      <c r="X46">
        <v>0</v>
      </c>
    </row>
    <row r="47" spans="19:24" x14ac:dyDescent="0.25">
      <c r="S47">
        <v>41</v>
      </c>
      <c r="T47" s="25">
        <v>108107.9012887447</v>
      </c>
      <c r="U47" s="25">
        <v>262875</v>
      </c>
      <c r="V47" s="40">
        <v>154767.0987112553</v>
      </c>
      <c r="W47">
        <v>100.90128874469501</v>
      </c>
      <c r="X47">
        <v>1</v>
      </c>
    </row>
    <row r="48" spans="19:24" x14ac:dyDescent="0.25">
      <c r="S48">
        <v>42</v>
      </c>
      <c r="T48" s="25">
        <v>115980</v>
      </c>
      <c r="U48" s="25">
        <v>294865</v>
      </c>
      <c r="V48" s="40">
        <v>178885</v>
      </c>
      <c r="W48">
        <v>0</v>
      </c>
      <c r="X48">
        <v>0</v>
      </c>
    </row>
    <row r="49" spans="19:24" x14ac:dyDescent="0.25">
      <c r="S49">
        <v>43</v>
      </c>
      <c r="T49" s="25">
        <v>123170.43440720237</v>
      </c>
      <c r="U49" s="25">
        <v>317705</v>
      </c>
      <c r="V49" s="40">
        <v>194534.56559279762</v>
      </c>
      <c r="W49">
        <v>367.6058529373567</v>
      </c>
      <c r="X49">
        <v>0</v>
      </c>
    </row>
    <row r="50" spans="19:24" x14ac:dyDescent="0.25">
      <c r="S50">
        <v>44</v>
      </c>
      <c r="T50" s="25">
        <v>95156.923497708529</v>
      </c>
      <c r="U50" s="25">
        <v>217400</v>
      </c>
      <c r="V50" s="40">
        <v>122243.07650229147</v>
      </c>
      <c r="W50">
        <v>100.92349770853141</v>
      </c>
      <c r="X50">
        <v>2</v>
      </c>
    </row>
    <row r="51" spans="19:24" x14ac:dyDescent="0.25">
      <c r="S51">
        <v>45</v>
      </c>
      <c r="T51" s="25">
        <v>111045</v>
      </c>
      <c r="U51" s="25">
        <v>278140</v>
      </c>
      <c r="V51" s="40">
        <v>167095</v>
      </c>
      <c r="W51">
        <v>0</v>
      </c>
      <c r="X51">
        <v>1</v>
      </c>
    </row>
    <row r="52" spans="19:24" x14ac:dyDescent="0.25">
      <c r="S52">
        <v>46</v>
      </c>
      <c r="T52" s="25">
        <v>110940</v>
      </c>
      <c r="U52" s="25">
        <v>284985</v>
      </c>
      <c r="V52" s="40">
        <v>174045</v>
      </c>
      <c r="W52">
        <v>0</v>
      </c>
      <c r="X52">
        <v>1</v>
      </c>
    </row>
    <row r="53" spans="19:24" x14ac:dyDescent="0.25">
      <c r="S53">
        <v>47</v>
      </c>
      <c r="T53" s="25">
        <v>98770</v>
      </c>
      <c r="U53" s="25">
        <v>241040</v>
      </c>
      <c r="V53" s="40">
        <v>142270</v>
      </c>
      <c r="W53">
        <v>0</v>
      </c>
      <c r="X53">
        <v>1</v>
      </c>
    </row>
    <row r="54" spans="19:24" x14ac:dyDescent="0.25">
      <c r="S54">
        <v>48</v>
      </c>
      <c r="T54" s="25">
        <v>116595</v>
      </c>
      <c r="U54" s="25">
        <v>300730</v>
      </c>
      <c r="V54" s="40">
        <v>184135</v>
      </c>
      <c r="W54">
        <v>0</v>
      </c>
      <c r="X54">
        <v>0</v>
      </c>
    </row>
    <row r="55" spans="19:24" x14ac:dyDescent="0.25">
      <c r="S55">
        <v>49</v>
      </c>
      <c r="T55" s="25">
        <v>109657</v>
      </c>
      <c r="U55" s="25">
        <v>270625</v>
      </c>
      <c r="V55" s="40">
        <v>160968</v>
      </c>
      <c r="W55">
        <v>0</v>
      </c>
      <c r="X55">
        <v>1</v>
      </c>
    </row>
    <row r="56" spans="19:24" x14ac:dyDescent="0.25">
      <c r="S56">
        <v>50</v>
      </c>
      <c r="T56" s="25">
        <v>126499</v>
      </c>
      <c r="U56" s="25">
        <v>340335</v>
      </c>
      <c r="V56" s="40">
        <v>213836</v>
      </c>
      <c r="W56">
        <v>0</v>
      </c>
      <c r="X56">
        <v>1</v>
      </c>
    </row>
    <row r="57" spans="19:24" x14ac:dyDescent="0.25">
      <c r="S57">
        <v>51</v>
      </c>
      <c r="T57" s="25">
        <v>92227.801949374028</v>
      </c>
      <c r="U57" s="25">
        <v>205805</v>
      </c>
      <c r="V57" s="40">
        <v>113577.19805062597</v>
      </c>
      <c r="W57">
        <v>107.80194937403105</v>
      </c>
      <c r="X57">
        <v>2</v>
      </c>
    </row>
    <row r="58" spans="19:24" x14ac:dyDescent="0.25">
      <c r="S58">
        <v>52</v>
      </c>
      <c r="T58" s="25">
        <v>109510</v>
      </c>
      <c r="U58" s="25">
        <v>265730</v>
      </c>
      <c r="V58" s="40">
        <v>156220</v>
      </c>
      <c r="W58">
        <v>0</v>
      </c>
      <c r="X58">
        <v>0</v>
      </c>
    </row>
    <row r="59" spans="19:24" x14ac:dyDescent="0.25">
      <c r="S59">
        <v>53</v>
      </c>
      <c r="T59" s="25">
        <v>104544</v>
      </c>
      <c r="U59" s="25">
        <v>258630</v>
      </c>
      <c r="V59" s="40">
        <v>154086</v>
      </c>
      <c r="W59">
        <v>0</v>
      </c>
      <c r="X59">
        <v>2</v>
      </c>
    </row>
    <row r="60" spans="19:24" x14ac:dyDescent="0.25">
      <c r="S60">
        <v>54</v>
      </c>
      <c r="T60" s="25">
        <v>123763.89338023798</v>
      </c>
      <c r="U60" s="25">
        <v>321075</v>
      </c>
      <c r="V60" s="40">
        <v>197311.10661976202</v>
      </c>
      <c r="W60">
        <v>101.8279219354505</v>
      </c>
      <c r="X60">
        <v>0</v>
      </c>
    </row>
    <row r="61" spans="19:24" x14ac:dyDescent="0.25">
      <c r="S61">
        <v>55</v>
      </c>
      <c r="T61" s="25">
        <v>118320</v>
      </c>
      <c r="U61" s="25">
        <v>299525</v>
      </c>
      <c r="V61" s="40">
        <v>181205</v>
      </c>
      <c r="W61">
        <v>0</v>
      </c>
      <c r="X61">
        <v>0</v>
      </c>
    </row>
    <row r="62" spans="19:24" x14ac:dyDescent="0.25">
      <c r="S62">
        <v>56</v>
      </c>
      <c r="T62" s="25">
        <v>110431</v>
      </c>
      <c r="U62" s="25">
        <v>269765</v>
      </c>
      <c r="V62" s="40">
        <v>159334</v>
      </c>
      <c r="W62">
        <v>0</v>
      </c>
      <c r="X62">
        <v>1</v>
      </c>
    </row>
    <row r="63" spans="19:24" x14ac:dyDescent="0.25">
      <c r="S63">
        <v>57</v>
      </c>
      <c r="T63" s="25">
        <v>97301</v>
      </c>
      <c r="U63" s="25">
        <v>243850</v>
      </c>
      <c r="V63" s="40">
        <v>146549</v>
      </c>
      <c r="W63">
        <v>0</v>
      </c>
      <c r="X63">
        <v>2</v>
      </c>
    </row>
    <row r="64" spans="19:24" x14ac:dyDescent="0.25">
      <c r="S64">
        <v>58</v>
      </c>
      <c r="T64" s="25">
        <v>95802</v>
      </c>
      <c r="U64" s="25">
        <v>232285</v>
      </c>
      <c r="V64" s="40">
        <v>136483</v>
      </c>
      <c r="W64">
        <v>0</v>
      </c>
      <c r="X64">
        <v>2</v>
      </c>
    </row>
    <row r="65" spans="19:24" x14ac:dyDescent="0.25">
      <c r="S65">
        <v>59</v>
      </c>
      <c r="T65" s="25">
        <v>120309.79360808397</v>
      </c>
      <c r="U65" s="25">
        <v>303495</v>
      </c>
      <c r="V65" s="40">
        <v>183185.20639191603</v>
      </c>
      <c r="W65">
        <v>284.79360808397018</v>
      </c>
      <c r="X65">
        <v>0</v>
      </c>
    </row>
    <row r="66" spans="19:24" x14ac:dyDescent="0.25">
      <c r="S66">
        <v>60</v>
      </c>
      <c r="T66" s="25">
        <v>113437.88446135528</v>
      </c>
      <c r="U66" s="25">
        <v>281720</v>
      </c>
      <c r="V66" s="40">
        <v>168282.11553864472</v>
      </c>
      <c r="W66">
        <v>427.88446135526971</v>
      </c>
      <c r="X66">
        <v>0</v>
      </c>
    </row>
    <row r="67" spans="19:24" x14ac:dyDescent="0.25">
      <c r="S67">
        <v>61</v>
      </c>
      <c r="T67" s="25">
        <v>116902.66025374879</v>
      </c>
      <c r="U67" s="25">
        <v>285935</v>
      </c>
      <c r="V67" s="40">
        <v>169032.33974625121</v>
      </c>
      <c r="W67">
        <v>452.66025374879581</v>
      </c>
      <c r="X67">
        <v>0</v>
      </c>
    </row>
    <row r="68" spans="19:24" x14ac:dyDescent="0.25">
      <c r="S68">
        <v>62</v>
      </c>
      <c r="T68" s="25">
        <v>104077.1652206263</v>
      </c>
      <c r="U68" s="25">
        <v>252365</v>
      </c>
      <c r="V68" s="40">
        <v>148287.83477937372</v>
      </c>
      <c r="W68">
        <v>463.16522062629156</v>
      </c>
      <c r="X68">
        <v>2</v>
      </c>
    </row>
    <row r="69" spans="19:24" x14ac:dyDescent="0.25">
      <c r="S69">
        <v>63</v>
      </c>
      <c r="T69" s="25">
        <v>104509.80481173372</v>
      </c>
      <c r="U69" s="25">
        <v>256060</v>
      </c>
      <c r="V69" s="40">
        <v>151550.19518826628</v>
      </c>
      <c r="W69">
        <v>502.80481173370805</v>
      </c>
      <c r="X69">
        <v>2</v>
      </c>
    </row>
    <row r="70" spans="19:24" x14ac:dyDescent="0.25">
      <c r="S70">
        <v>64</v>
      </c>
      <c r="T70" s="25">
        <v>118365.64438688748</v>
      </c>
      <c r="U70" s="25">
        <v>297670</v>
      </c>
      <c r="V70" s="40">
        <v>179304.35561311251</v>
      </c>
      <c r="W70">
        <v>235.64438688747882</v>
      </c>
      <c r="X70">
        <v>0</v>
      </c>
    </row>
    <row r="71" spans="19:24" x14ac:dyDescent="0.25">
      <c r="S71">
        <v>65</v>
      </c>
      <c r="T71" s="25">
        <v>119635</v>
      </c>
      <c r="U71" s="25">
        <v>320725</v>
      </c>
      <c r="V71" s="40">
        <v>201090</v>
      </c>
      <c r="W71">
        <v>0</v>
      </c>
      <c r="X71">
        <v>1</v>
      </c>
    </row>
    <row r="72" spans="19:24" x14ac:dyDescent="0.25">
      <c r="S72">
        <v>66</v>
      </c>
      <c r="T72" s="25">
        <v>106292.51445168386</v>
      </c>
      <c r="U72" s="25">
        <v>268195</v>
      </c>
      <c r="V72" s="40">
        <v>161902.48554831615</v>
      </c>
      <c r="W72">
        <v>217.51445168386627</v>
      </c>
      <c r="X72">
        <v>1</v>
      </c>
    </row>
    <row r="73" spans="19:24" x14ac:dyDescent="0.25">
      <c r="S73">
        <v>67</v>
      </c>
      <c r="T73" s="25">
        <v>113405</v>
      </c>
      <c r="U73" s="25">
        <v>283480</v>
      </c>
      <c r="V73" s="40">
        <v>170075</v>
      </c>
      <c r="W73">
        <v>0</v>
      </c>
      <c r="X73">
        <v>0</v>
      </c>
    </row>
    <row r="74" spans="19:24" x14ac:dyDescent="0.25">
      <c r="S74">
        <v>68</v>
      </c>
      <c r="T74" s="25">
        <v>116435.26896321225</v>
      </c>
      <c r="U74" s="25">
        <v>280160</v>
      </c>
      <c r="V74" s="40">
        <v>163724.73103678774</v>
      </c>
      <c r="W74">
        <v>1000.2689632122484</v>
      </c>
      <c r="X74">
        <v>0</v>
      </c>
    </row>
    <row r="75" spans="19:24" x14ac:dyDescent="0.25">
      <c r="S75">
        <v>69</v>
      </c>
      <c r="T75" s="25">
        <v>117286</v>
      </c>
      <c r="U75" s="25">
        <v>304210</v>
      </c>
      <c r="V75" s="40">
        <v>186924</v>
      </c>
      <c r="W75">
        <v>0</v>
      </c>
      <c r="X75">
        <v>1</v>
      </c>
    </row>
    <row r="76" spans="19:24" x14ac:dyDescent="0.25">
      <c r="S76">
        <v>70</v>
      </c>
      <c r="T76" s="25">
        <v>113208.54623482026</v>
      </c>
      <c r="U76" s="25">
        <v>270110</v>
      </c>
      <c r="V76" s="40">
        <v>156901.45376517973</v>
      </c>
      <c r="W76">
        <v>1013.5462348202548</v>
      </c>
      <c r="X76">
        <v>0</v>
      </c>
    </row>
    <row r="77" spans="19:24" x14ac:dyDescent="0.25">
      <c r="S77">
        <v>71</v>
      </c>
      <c r="T77" s="25">
        <v>108394.18081059106</v>
      </c>
      <c r="U77" s="25">
        <v>271210</v>
      </c>
      <c r="V77" s="40">
        <v>162815.81918940894</v>
      </c>
      <c r="W77">
        <v>214.18081059106689</v>
      </c>
      <c r="X77">
        <v>0</v>
      </c>
    </row>
    <row r="78" spans="19:24" x14ac:dyDescent="0.25">
      <c r="S78">
        <v>72</v>
      </c>
      <c r="T78" s="25">
        <v>103356</v>
      </c>
      <c r="U78" s="25">
        <v>240630</v>
      </c>
      <c r="V78" s="40">
        <v>137274</v>
      </c>
      <c r="W78">
        <v>0</v>
      </c>
      <c r="X78">
        <v>1</v>
      </c>
    </row>
    <row r="79" spans="19:24" x14ac:dyDescent="0.25">
      <c r="S79">
        <v>73</v>
      </c>
      <c r="T79" s="25">
        <v>116265</v>
      </c>
      <c r="U79" s="25">
        <v>300270</v>
      </c>
      <c r="V79" s="40">
        <v>184005</v>
      </c>
      <c r="W79">
        <v>0</v>
      </c>
      <c r="X79">
        <v>0</v>
      </c>
    </row>
    <row r="80" spans="19:24" x14ac:dyDescent="0.25">
      <c r="S80">
        <v>74</v>
      </c>
      <c r="T80" s="25">
        <v>99715</v>
      </c>
      <c r="U80" s="25">
        <v>236005</v>
      </c>
      <c r="V80" s="40">
        <v>136290</v>
      </c>
      <c r="W80">
        <v>0</v>
      </c>
      <c r="X80">
        <v>1</v>
      </c>
    </row>
    <row r="81" spans="19:24" x14ac:dyDescent="0.25">
      <c r="S81">
        <v>75</v>
      </c>
      <c r="T81" s="25">
        <v>119890.4523327856</v>
      </c>
      <c r="U81" s="25">
        <v>309010</v>
      </c>
      <c r="V81" s="40">
        <v>189119.54766721441</v>
      </c>
      <c r="W81">
        <v>65.452332785603346</v>
      </c>
      <c r="X81">
        <v>0</v>
      </c>
    </row>
    <row r="82" spans="19:24" x14ac:dyDescent="0.25">
      <c r="S82">
        <v>76</v>
      </c>
      <c r="T82" s="25">
        <v>94165.552273608497</v>
      </c>
      <c r="U82" s="25">
        <v>219570</v>
      </c>
      <c r="V82" s="40">
        <v>125404.4477263915</v>
      </c>
      <c r="W82">
        <v>55.552273608492676</v>
      </c>
      <c r="X82">
        <v>2</v>
      </c>
    </row>
    <row r="83" spans="19:24" x14ac:dyDescent="0.25">
      <c r="S83">
        <v>77</v>
      </c>
      <c r="T83" s="25">
        <v>100783</v>
      </c>
      <c r="U83" s="25">
        <v>251125</v>
      </c>
      <c r="V83" s="40">
        <v>150342</v>
      </c>
      <c r="W83">
        <v>0</v>
      </c>
      <c r="X83">
        <v>2</v>
      </c>
    </row>
    <row r="84" spans="19:24" x14ac:dyDescent="0.25">
      <c r="S84">
        <v>78</v>
      </c>
      <c r="T84" s="25">
        <v>104961</v>
      </c>
      <c r="U84" s="25">
        <v>255650</v>
      </c>
      <c r="V84" s="40">
        <v>150689</v>
      </c>
      <c r="W84">
        <v>0</v>
      </c>
      <c r="X84">
        <v>1</v>
      </c>
    </row>
    <row r="85" spans="19:24" x14ac:dyDescent="0.25">
      <c r="S85">
        <v>79</v>
      </c>
      <c r="T85" s="25">
        <v>115611</v>
      </c>
      <c r="U85" s="25">
        <v>288095</v>
      </c>
      <c r="V85" s="40">
        <v>172484</v>
      </c>
      <c r="W85">
        <v>0</v>
      </c>
      <c r="X85">
        <v>1</v>
      </c>
    </row>
    <row r="86" spans="19:24" x14ac:dyDescent="0.25">
      <c r="S86">
        <v>80</v>
      </c>
      <c r="T86" s="25">
        <v>122471.057494593</v>
      </c>
      <c r="U86" s="25">
        <v>311560</v>
      </c>
      <c r="V86" s="40">
        <v>189088.942505407</v>
      </c>
      <c r="W86">
        <v>691.05749459299864</v>
      </c>
      <c r="X86">
        <v>0</v>
      </c>
    </row>
    <row r="87" spans="19:24" x14ac:dyDescent="0.25">
      <c r="S87">
        <v>81</v>
      </c>
      <c r="T87" s="25">
        <v>115570.711558532</v>
      </c>
      <c r="U87" s="25">
        <v>297510</v>
      </c>
      <c r="V87" s="40">
        <v>181939.288441468</v>
      </c>
      <c r="W87">
        <v>303.99659067739066</v>
      </c>
      <c r="X87">
        <v>1</v>
      </c>
    </row>
    <row r="88" spans="19:24" x14ac:dyDescent="0.25">
      <c r="S88">
        <v>82</v>
      </c>
      <c r="T88" s="25">
        <v>89195</v>
      </c>
      <c r="U88" s="25">
        <v>197265</v>
      </c>
      <c r="V88" s="40">
        <v>108070</v>
      </c>
      <c r="W88">
        <v>0</v>
      </c>
      <c r="X88">
        <v>1</v>
      </c>
    </row>
    <row r="89" spans="19:24" x14ac:dyDescent="0.25">
      <c r="S89">
        <v>83</v>
      </c>
      <c r="T89" s="25">
        <v>119290</v>
      </c>
      <c r="U89" s="25">
        <v>306545</v>
      </c>
      <c r="V89" s="40">
        <v>187255</v>
      </c>
      <c r="W89">
        <v>0</v>
      </c>
      <c r="X89">
        <v>0</v>
      </c>
    </row>
    <row r="90" spans="19:24" x14ac:dyDescent="0.25">
      <c r="S90">
        <v>84</v>
      </c>
      <c r="T90" s="25">
        <v>112662.84606628631</v>
      </c>
      <c r="U90" s="25">
        <v>276550</v>
      </c>
      <c r="V90" s="40">
        <v>163887.15393371368</v>
      </c>
      <c r="W90">
        <v>147.8460662863049</v>
      </c>
      <c r="X90">
        <v>0</v>
      </c>
    </row>
    <row r="91" spans="19:24" x14ac:dyDescent="0.25">
      <c r="S91">
        <v>85</v>
      </c>
      <c r="T91" s="25">
        <v>126745</v>
      </c>
      <c r="U91" s="25">
        <v>329810</v>
      </c>
      <c r="V91" s="40">
        <v>203065</v>
      </c>
      <c r="W91">
        <v>0</v>
      </c>
      <c r="X91">
        <v>0</v>
      </c>
    </row>
    <row r="92" spans="19:24" x14ac:dyDescent="0.25">
      <c r="S92">
        <v>86</v>
      </c>
      <c r="T92" s="25">
        <v>115981.30222726488</v>
      </c>
      <c r="U92" s="25">
        <v>292915</v>
      </c>
      <c r="V92" s="40">
        <v>176933.69777273512</v>
      </c>
      <c r="W92">
        <v>296.30222726487375</v>
      </c>
      <c r="X92">
        <v>0</v>
      </c>
    </row>
    <row r="93" spans="19:24" x14ac:dyDescent="0.25">
      <c r="S93">
        <v>87</v>
      </c>
      <c r="T93" s="25">
        <v>110708</v>
      </c>
      <c r="U93" s="25">
        <v>274165</v>
      </c>
      <c r="V93" s="40">
        <v>163457</v>
      </c>
      <c r="W93">
        <v>0</v>
      </c>
      <c r="X93">
        <v>1</v>
      </c>
    </row>
    <row r="94" spans="19:24" x14ac:dyDescent="0.25">
      <c r="S94">
        <v>88</v>
      </c>
      <c r="T94" s="25">
        <v>123980</v>
      </c>
      <c r="U94" s="25">
        <v>333695</v>
      </c>
      <c r="V94" s="40">
        <v>209715</v>
      </c>
      <c r="W94">
        <v>0</v>
      </c>
      <c r="X94">
        <v>0</v>
      </c>
    </row>
    <row r="95" spans="19:24" x14ac:dyDescent="0.25">
      <c r="S95">
        <v>89</v>
      </c>
      <c r="T95" s="25">
        <v>103163</v>
      </c>
      <c r="U95" s="25">
        <v>253420</v>
      </c>
      <c r="V95" s="40">
        <v>150257</v>
      </c>
      <c r="W95">
        <v>0</v>
      </c>
      <c r="X95">
        <v>2</v>
      </c>
    </row>
    <row r="96" spans="19:24" x14ac:dyDescent="0.25">
      <c r="S96">
        <v>90</v>
      </c>
      <c r="T96" s="25">
        <v>131456.47266334185</v>
      </c>
      <c r="U96" s="25">
        <v>357030</v>
      </c>
      <c r="V96" s="40">
        <v>225573.52733665815</v>
      </c>
      <c r="W96">
        <v>61.472663341833453</v>
      </c>
      <c r="X96">
        <v>0</v>
      </c>
    </row>
    <row r="97" spans="19:24" x14ac:dyDescent="0.25">
      <c r="S97">
        <v>91</v>
      </c>
      <c r="T97" s="25">
        <v>105397</v>
      </c>
      <c r="U97" s="25">
        <v>269095</v>
      </c>
      <c r="V97" s="40">
        <v>163698</v>
      </c>
      <c r="W97">
        <v>0</v>
      </c>
      <c r="X97">
        <v>2</v>
      </c>
    </row>
    <row r="98" spans="19:24" x14ac:dyDescent="0.25">
      <c r="S98">
        <v>92</v>
      </c>
      <c r="T98" s="25">
        <v>115330</v>
      </c>
      <c r="U98" s="25">
        <v>292075</v>
      </c>
      <c r="V98" s="40">
        <v>176745</v>
      </c>
      <c r="W98">
        <v>0</v>
      </c>
      <c r="X98">
        <v>0</v>
      </c>
    </row>
    <row r="99" spans="19:24" x14ac:dyDescent="0.25">
      <c r="S99">
        <v>93</v>
      </c>
      <c r="T99" s="25">
        <v>116417</v>
      </c>
      <c r="U99" s="25">
        <v>302875</v>
      </c>
      <c r="V99" s="40">
        <v>186458</v>
      </c>
      <c r="W99">
        <v>0</v>
      </c>
      <c r="X99">
        <v>1</v>
      </c>
    </row>
    <row r="100" spans="19:24" x14ac:dyDescent="0.25">
      <c r="S100">
        <v>94</v>
      </c>
      <c r="T100" s="25">
        <v>99961.870140951898</v>
      </c>
      <c r="U100" s="25">
        <v>236040</v>
      </c>
      <c r="V100" s="40">
        <v>136078.12985904812</v>
      </c>
      <c r="W100">
        <v>411.87014095189676</v>
      </c>
      <c r="X100">
        <v>1</v>
      </c>
    </row>
    <row r="101" spans="19:24" x14ac:dyDescent="0.25">
      <c r="S101">
        <v>95</v>
      </c>
      <c r="T101" s="25">
        <v>93988</v>
      </c>
      <c r="U101" s="25">
        <v>226740</v>
      </c>
      <c r="V101" s="40">
        <v>132752</v>
      </c>
      <c r="W101">
        <v>0</v>
      </c>
      <c r="X101">
        <v>2</v>
      </c>
    </row>
    <row r="102" spans="19:24" x14ac:dyDescent="0.25">
      <c r="S102">
        <v>96</v>
      </c>
      <c r="T102" s="25">
        <v>97025.308304477556</v>
      </c>
      <c r="U102" s="25">
        <v>226915</v>
      </c>
      <c r="V102" s="40">
        <v>129889.69169552244</v>
      </c>
      <c r="W102">
        <v>158.80259697670795</v>
      </c>
      <c r="X102">
        <v>1</v>
      </c>
    </row>
    <row r="103" spans="19:24" x14ac:dyDescent="0.25">
      <c r="S103">
        <v>97</v>
      </c>
      <c r="T103" s="25">
        <v>113911.13756322193</v>
      </c>
      <c r="U103" s="25">
        <v>291080</v>
      </c>
      <c r="V103" s="40">
        <v>177168.86243677806</v>
      </c>
      <c r="W103">
        <v>323.46667777535072</v>
      </c>
      <c r="X103">
        <v>0</v>
      </c>
    </row>
    <row r="104" spans="19:24" x14ac:dyDescent="0.25">
      <c r="S104">
        <v>98</v>
      </c>
      <c r="T104" s="25">
        <v>114071</v>
      </c>
      <c r="U104" s="25">
        <v>299640</v>
      </c>
      <c r="V104" s="40">
        <v>185569</v>
      </c>
      <c r="W104">
        <v>0</v>
      </c>
      <c r="X104">
        <v>1</v>
      </c>
    </row>
    <row r="105" spans="19:24" x14ac:dyDescent="0.25">
      <c r="S105">
        <v>99</v>
      </c>
      <c r="T105" s="25">
        <v>104625</v>
      </c>
      <c r="U105" s="25">
        <v>247575</v>
      </c>
      <c r="V105" s="40">
        <v>142950</v>
      </c>
      <c r="W105">
        <v>0</v>
      </c>
      <c r="X105">
        <v>0</v>
      </c>
    </row>
    <row r="106" spans="19:24" x14ac:dyDescent="0.25">
      <c r="S106">
        <v>100</v>
      </c>
      <c r="T106" s="25">
        <v>111534.5377495569</v>
      </c>
      <c r="U106" s="25">
        <v>259890</v>
      </c>
      <c r="V106" s="40">
        <v>148355.46225044312</v>
      </c>
      <c r="W106">
        <v>1243.0658210520742</v>
      </c>
      <c r="X106">
        <v>0</v>
      </c>
    </row>
    <row r="107" spans="19:24" x14ac:dyDescent="0.25">
      <c r="T107" s="25">
        <v>121280</v>
      </c>
      <c r="U107" s="25">
        <v>313280</v>
      </c>
      <c r="V107" s="40">
        <v>192000</v>
      </c>
      <c r="W107">
        <v>0</v>
      </c>
      <c r="X107">
        <v>0</v>
      </c>
    </row>
    <row r="108" spans="19:24" x14ac:dyDescent="0.25">
      <c r="T108" s="25">
        <v>103145</v>
      </c>
      <c r="U108" s="25">
        <v>238390</v>
      </c>
      <c r="V108" s="40">
        <v>135245</v>
      </c>
      <c r="W108">
        <v>0</v>
      </c>
      <c r="X108">
        <v>0</v>
      </c>
    </row>
    <row r="109" spans="19:24" x14ac:dyDescent="0.25">
      <c r="T109" s="25">
        <v>118010.91989940206</v>
      </c>
      <c r="U109" s="25">
        <v>302435</v>
      </c>
      <c r="V109" s="40">
        <v>184424.08010059796</v>
      </c>
      <c r="W109">
        <v>154.23719424675551</v>
      </c>
      <c r="X109">
        <v>0</v>
      </c>
    </row>
    <row r="110" spans="19:24" x14ac:dyDescent="0.25">
      <c r="T110" s="25">
        <v>120602.15836555781</v>
      </c>
      <c r="U110" s="25">
        <v>314655</v>
      </c>
      <c r="V110" s="40">
        <v>194052.84163444219</v>
      </c>
      <c r="W110">
        <v>767.15836555780936</v>
      </c>
      <c r="X110">
        <v>0</v>
      </c>
    </row>
    <row r="111" spans="19:24" x14ac:dyDescent="0.25">
      <c r="T111" s="25">
        <v>126665</v>
      </c>
      <c r="U111" s="25">
        <v>332700</v>
      </c>
      <c r="V111" s="40">
        <v>206035</v>
      </c>
      <c r="W111">
        <v>0</v>
      </c>
      <c r="X111">
        <v>0</v>
      </c>
    </row>
    <row r="112" spans="19:24" x14ac:dyDescent="0.25">
      <c r="T112" s="25">
        <v>122970.34841708071</v>
      </c>
      <c r="U112" s="25">
        <v>318665</v>
      </c>
      <c r="V112" s="40">
        <v>195694.65158291929</v>
      </c>
      <c r="W112">
        <v>265.26256969885179</v>
      </c>
      <c r="X112">
        <v>0</v>
      </c>
    </row>
    <row r="113" spans="20:24" x14ac:dyDescent="0.25">
      <c r="T113" s="25">
        <v>110470</v>
      </c>
      <c r="U113" s="25">
        <v>274855</v>
      </c>
      <c r="V113" s="40">
        <v>164385</v>
      </c>
      <c r="W113">
        <v>0</v>
      </c>
      <c r="X113">
        <v>0</v>
      </c>
    </row>
    <row r="114" spans="20:24" x14ac:dyDescent="0.25">
      <c r="T114" s="25">
        <v>128135</v>
      </c>
      <c r="U114" s="25">
        <v>343375</v>
      </c>
      <c r="V114" s="40">
        <v>215240</v>
      </c>
      <c r="W114">
        <v>0</v>
      </c>
      <c r="X114">
        <v>0</v>
      </c>
    </row>
    <row r="115" spans="20:24" x14ac:dyDescent="0.25">
      <c r="T115" s="25">
        <v>119667.62638776601</v>
      </c>
      <c r="U115" s="25">
        <v>310675</v>
      </c>
      <c r="V115" s="40">
        <v>191007.37361223399</v>
      </c>
      <c r="W115">
        <v>420.62638776600988</v>
      </c>
      <c r="X115">
        <v>1</v>
      </c>
    </row>
    <row r="116" spans="20:24" x14ac:dyDescent="0.25">
      <c r="T116" s="25">
        <v>103238.28447769984</v>
      </c>
      <c r="U116" s="25">
        <v>241535</v>
      </c>
      <c r="V116" s="40">
        <v>138296.71552230016</v>
      </c>
      <c r="W116">
        <v>216.26751354573801</v>
      </c>
      <c r="X116">
        <v>1</v>
      </c>
    </row>
    <row r="117" spans="20:24" x14ac:dyDescent="0.25">
      <c r="T117" s="25">
        <v>95464.038566714211</v>
      </c>
      <c r="U117" s="25">
        <v>221245</v>
      </c>
      <c r="V117" s="40">
        <v>125780.96143328579</v>
      </c>
      <c r="W117">
        <v>327.03856671421124</v>
      </c>
      <c r="X117">
        <v>2</v>
      </c>
    </row>
    <row r="118" spans="20:24" x14ac:dyDescent="0.25">
      <c r="T118" s="25">
        <v>129844.83560406443</v>
      </c>
      <c r="U118" s="25">
        <v>348045</v>
      </c>
      <c r="V118" s="40">
        <v>218200.16439593557</v>
      </c>
      <c r="W118">
        <v>279.83560406442228</v>
      </c>
      <c r="X118">
        <v>0</v>
      </c>
    </row>
    <row r="119" spans="20:24" x14ac:dyDescent="0.25">
      <c r="T119" s="25">
        <v>128175</v>
      </c>
      <c r="U119" s="25">
        <v>340300</v>
      </c>
      <c r="V119" s="40">
        <v>212125</v>
      </c>
      <c r="W119">
        <v>0</v>
      </c>
      <c r="X119">
        <v>0</v>
      </c>
    </row>
    <row r="120" spans="20:24" x14ac:dyDescent="0.25">
      <c r="T120" s="25">
        <v>126000</v>
      </c>
      <c r="U120" s="25">
        <v>324900</v>
      </c>
      <c r="V120" s="40">
        <v>198900</v>
      </c>
      <c r="W120">
        <v>0</v>
      </c>
      <c r="X120">
        <v>0</v>
      </c>
    </row>
    <row r="121" spans="20:24" x14ac:dyDescent="0.25">
      <c r="T121" s="25">
        <v>103777</v>
      </c>
      <c r="U121" s="25">
        <v>244865</v>
      </c>
      <c r="V121" s="40">
        <v>141088</v>
      </c>
      <c r="W121">
        <v>0</v>
      </c>
      <c r="X121">
        <v>1</v>
      </c>
    </row>
    <row r="122" spans="20:24" x14ac:dyDescent="0.25">
      <c r="T122" s="25">
        <v>123965</v>
      </c>
      <c r="U122" s="25">
        <v>317835</v>
      </c>
      <c r="V122" s="40">
        <v>193870</v>
      </c>
      <c r="W122">
        <v>0</v>
      </c>
      <c r="X122">
        <v>0</v>
      </c>
    </row>
    <row r="123" spans="20:24" x14ac:dyDescent="0.25">
      <c r="T123" s="25">
        <v>127500</v>
      </c>
      <c r="U123" s="25">
        <v>341835</v>
      </c>
      <c r="V123" s="40">
        <v>214335</v>
      </c>
      <c r="W123">
        <v>0</v>
      </c>
      <c r="X123">
        <v>0</v>
      </c>
    </row>
    <row r="124" spans="20:24" x14ac:dyDescent="0.25">
      <c r="T124" s="25">
        <v>112474.75280669714</v>
      </c>
      <c r="U124" s="25">
        <v>290535</v>
      </c>
      <c r="V124" s="40">
        <v>178060.24719330287</v>
      </c>
      <c r="W124">
        <v>344.75280669713612</v>
      </c>
      <c r="X124">
        <v>1</v>
      </c>
    </row>
    <row r="125" spans="20:24" x14ac:dyDescent="0.25">
      <c r="T125" s="25">
        <v>109335</v>
      </c>
      <c r="U125" s="25">
        <v>278015</v>
      </c>
      <c r="V125" s="40">
        <v>168680</v>
      </c>
      <c r="W125">
        <v>0</v>
      </c>
      <c r="X125">
        <v>1</v>
      </c>
    </row>
    <row r="126" spans="20:24" x14ac:dyDescent="0.25">
      <c r="T126" s="25">
        <v>114155</v>
      </c>
      <c r="U126" s="25">
        <v>280730</v>
      </c>
      <c r="V126" s="40">
        <v>166575</v>
      </c>
      <c r="W126">
        <v>0</v>
      </c>
      <c r="X126">
        <v>0</v>
      </c>
    </row>
    <row r="127" spans="20:24" x14ac:dyDescent="0.25">
      <c r="T127" s="25">
        <v>125930.57941849764</v>
      </c>
      <c r="U127" s="25">
        <v>321635</v>
      </c>
      <c r="V127" s="40">
        <v>195704.42058150237</v>
      </c>
      <c r="W127">
        <v>250.57941849763756</v>
      </c>
      <c r="X127">
        <v>0</v>
      </c>
    </row>
    <row r="128" spans="20:24" x14ac:dyDescent="0.25">
      <c r="T128" s="25">
        <v>106609.71874740248</v>
      </c>
      <c r="U128" s="25">
        <v>260650</v>
      </c>
      <c r="V128" s="40">
        <v>154040.28125259752</v>
      </c>
      <c r="W128">
        <v>240.71874740248455</v>
      </c>
      <c r="X128">
        <v>1</v>
      </c>
    </row>
    <row r="129" spans="20:24" x14ac:dyDescent="0.25">
      <c r="T129" s="25">
        <v>115078.1765691287</v>
      </c>
      <c r="U129" s="25">
        <v>286115</v>
      </c>
      <c r="V129" s="40">
        <v>171036.8234308713</v>
      </c>
      <c r="W129">
        <v>1158.176569128706</v>
      </c>
      <c r="X129">
        <v>0</v>
      </c>
    </row>
    <row r="130" spans="20:24" x14ac:dyDescent="0.25">
      <c r="T130" s="25">
        <v>125415</v>
      </c>
      <c r="U130" s="25">
        <v>333215</v>
      </c>
      <c r="V130" s="40">
        <v>207800</v>
      </c>
      <c r="W130">
        <v>0</v>
      </c>
      <c r="X130">
        <v>0</v>
      </c>
    </row>
    <row r="131" spans="20:24" x14ac:dyDescent="0.25">
      <c r="T131" s="25">
        <v>116383.55513395424</v>
      </c>
      <c r="U131" s="25">
        <v>301895</v>
      </c>
      <c r="V131" s="40">
        <v>185511.44486604576</v>
      </c>
      <c r="W131">
        <v>583.55513395423486</v>
      </c>
      <c r="X131">
        <v>1</v>
      </c>
    </row>
    <row r="132" spans="20:24" x14ac:dyDescent="0.25">
      <c r="T132" s="25">
        <v>113900</v>
      </c>
      <c r="U132" s="25">
        <v>295540</v>
      </c>
      <c r="V132" s="40">
        <v>181640</v>
      </c>
      <c r="W132">
        <v>0</v>
      </c>
      <c r="X132">
        <v>1</v>
      </c>
    </row>
    <row r="133" spans="20:24" x14ac:dyDescent="0.25">
      <c r="T133" s="25">
        <v>115865</v>
      </c>
      <c r="U133" s="25">
        <v>297435</v>
      </c>
      <c r="V133" s="40">
        <v>181570</v>
      </c>
      <c r="W133">
        <v>0</v>
      </c>
      <c r="X133">
        <v>1</v>
      </c>
    </row>
    <row r="134" spans="20:24" x14ac:dyDescent="0.25">
      <c r="T134" s="25">
        <v>111235</v>
      </c>
      <c r="U134" s="25">
        <v>268760</v>
      </c>
      <c r="V134" s="40">
        <v>157525</v>
      </c>
      <c r="W134">
        <v>0</v>
      </c>
      <c r="X134">
        <v>0</v>
      </c>
    </row>
    <row r="135" spans="20:24" x14ac:dyDescent="0.25">
      <c r="T135" s="25">
        <v>104412</v>
      </c>
      <c r="U135" s="25">
        <v>248585</v>
      </c>
      <c r="V135" s="40">
        <v>144173</v>
      </c>
      <c r="W135">
        <v>0</v>
      </c>
      <c r="X135">
        <v>1</v>
      </c>
    </row>
    <row r="136" spans="20:24" x14ac:dyDescent="0.25">
      <c r="T136" s="25">
        <v>104213.86367022232</v>
      </c>
      <c r="U136" s="25">
        <v>244715</v>
      </c>
      <c r="V136" s="40">
        <v>140501.13632977768</v>
      </c>
      <c r="W136">
        <v>678.86367022231752</v>
      </c>
      <c r="X136">
        <v>1</v>
      </c>
    </row>
    <row r="137" spans="20:24" x14ac:dyDescent="0.25">
      <c r="T137" s="25">
        <v>106798.40876824909</v>
      </c>
      <c r="U137" s="25">
        <v>273260</v>
      </c>
      <c r="V137" s="40">
        <v>166461.59123175091</v>
      </c>
      <c r="W137">
        <v>143.40876824908662</v>
      </c>
      <c r="X137">
        <v>1</v>
      </c>
    </row>
    <row r="138" spans="20:24" x14ac:dyDescent="0.25">
      <c r="T138" s="25">
        <v>117805.61960793693</v>
      </c>
      <c r="U138" s="25">
        <v>300450</v>
      </c>
      <c r="V138" s="40">
        <v>182644.38039206306</v>
      </c>
      <c r="W138">
        <v>145.61960793692299</v>
      </c>
      <c r="X138">
        <v>0</v>
      </c>
    </row>
    <row r="139" spans="20:24" x14ac:dyDescent="0.25">
      <c r="T139" s="25">
        <v>104435</v>
      </c>
      <c r="U139" s="25">
        <v>263380</v>
      </c>
      <c r="V139" s="40">
        <v>158945</v>
      </c>
      <c r="W139">
        <v>0</v>
      </c>
      <c r="X139">
        <v>1</v>
      </c>
    </row>
    <row r="140" spans="20:24" x14ac:dyDescent="0.25">
      <c r="T140" s="25">
        <v>113115</v>
      </c>
      <c r="U140" s="25">
        <v>281715</v>
      </c>
      <c r="V140" s="40">
        <v>168600</v>
      </c>
      <c r="W140">
        <v>0</v>
      </c>
      <c r="X140">
        <v>0</v>
      </c>
    </row>
    <row r="141" spans="20:24" x14ac:dyDescent="0.25">
      <c r="T141" s="25">
        <v>118987</v>
      </c>
      <c r="U141" s="25">
        <v>314665</v>
      </c>
      <c r="V141" s="40">
        <v>195678</v>
      </c>
      <c r="W141">
        <v>0</v>
      </c>
      <c r="X141">
        <v>1</v>
      </c>
    </row>
    <row r="142" spans="20:24" x14ac:dyDescent="0.25">
      <c r="T142" s="25">
        <v>109611</v>
      </c>
      <c r="U142" s="25">
        <v>280145</v>
      </c>
      <c r="V142" s="40">
        <v>170534</v>
      </c>
      <c r="W142">
        <v>0</v>
      </c>
      <c r="X142">
        <v>1</v>
      </c>
    </row>
    <row r="143" spans="20:24" x14ac:dyDescent="0.25">
      <c r="T143" s="25">
        <v>104540</v>
      </c>
      <c r="U143" s="25">
        <v>254080</v>
      </c>
      <c r="V143" s="40">
        <v>149540</v>
      </c>
      <c r="W143">
        <v>0</v>
      </c>
      <c r="X143">
        <v>1</v>
      </c>
    </row>
    <row r="144" spans="20:24" x14ac:dyDescent="0.25">
      <c r="T144" s="25">
        <v>120934.1414842134</v>
      </c>
      <c r="U144" s="25">
        <v>307050</v>
      </c>
      <c r="V144" s="40">
        <v>186115.85851578659</v>
      </c>
      <c r="W144">
        <v>4.1414842133931549</v>
      </c>
      <c r="X144">
        <v>0</v>
      </c>
    </row>
    <row r="145" spans="20:24" x14ac:dyDescent="0.25">
      <c r="T145" s="25">
        <v>106685</v>
      </c>
      <c r="U145" s="25">
        <v>272470</v>
      </c>
      <c r="V145" s="40">
        <v>165785</v>
      </c>
      <c r="W145">
        <v>0</v>
      </c>
      <c r="X145">
        <v>1</v>
      </c>
    </row>
    <row r="146" spans="20:24" x14ac:dyDescent="0.25">
      <c r="T146" s="25">
        <v>101073.05219593218</v>
      </c>
      <c r="U146" s="25">
        <v>245440</v>
      </c>
      <c r="V146" s="40">
        <v>144366.94780406781</v>
      </c>
      <c r="W146">
        <v>116.05219593218077</v>
      </c>
      <c r="X146">
        <v>2</v>
      </c>
    </row>
    <row r="147" spans="20:24" x14ac:dyDescent="0.25">
      <c r="T147" s="25">
        <v>113180</v>
      </c>
      <c r="U147" s="25">
        <v>295660</v>
      </c>
      <c r="V147" s="40">
        <v>182480</v>
      </c>
      <c r="W147">
        <v>0</v>
      </c>
      <c r="X147">
        <v>1</v>
      </c>
    </row>
    <row r="148" spans="20:24" x14ac:dyDescent="0.25">
      <c r="T148" s="25">
        <v>109800.60206591655</v>
      </c>
      <c r="U148" s="25">
        <v>289170</v>
      </c>
      <c r="V148" s="40">
        <v>179369.39793408345</v>
      </c>
      <c r="W148">
        <v>156.51613690294351</v>
      </c>
      <c r="X148">
        <v>1</v>
      </c>
    </row>
    <row r="149" spans="20:24" x14ac:dyDescent="0.25">
      <c r="T149" s="25">
        <v>107740.34471480714</v>
      </c>
      <c r="U149" s="25">
        <v>285125</v>
      </c>
      <c r="V149" s="40">
        <v>177384.65528519286</v>
      </c>
      <c r="W149">
        <v>650.3447148071499</v>
      </c>
      <c r="X149">
        <v>2</v>
      </c>
    </row>
    <row r="150" spans="20:24" x14ac:dyDescent="0.25">
      <c r="T150" s="25">
        <v>127855</v>
      </c>
      <c r="U150" s="25">
        <v>337810</v>
      </c>
      <c r="V150" s="40">
        <v>209955</v>
      </c>
      <c r="W150">
        <v>0</v>
      </c>
      <c r="X150">
        <v>0</v>
      </c>
    </row>
    <row r="151" spans="20:24" x14ac:dyDescent="0.25">
      <c r="T151" s="25">
        <v>115795</v>
      </c>
      <c r="U151" s="25">
        <v>286730</v>
      </c>
      <c r="V151" s="40">
        <v>170935</v>
      </c>
      <c r="W151">
        <v>0</v>
      </c>
      <c r="X151">
        <v>0</v>
      </c>
    </row>
    <row r="152" spans="20:24" x14ac:dyDescent="0.25">
      <c r="T152" s="25">
        <v>116960</v>
      </c>
      <c r="U152" s="25">
        <v>287390</v>
      </c>
      <c r="V152" s="40">
        <v>170430</v>
      </c>
      <c r="W152">
        <v>0</v>
      </c>
      <c r="X152">
        <v>0</v>
      </c>
    </row>
    <row r="153" spans="20:24" x14ac:dyDescent="0.25">
      <c r="T153" s="25">
        <v>112940.61222538374</v>
      </c>
      <c r="U153" s="25">
        <v>275445</v>
      </c>
      <c r="V153" s="40">
        <v>162504.38777461625</v>
      </c>
      <c r="W153">
        <v>825.08231821896993</v>
      </c>
      <c r="X153">
        <v>0</v>
      </c>
    </row>
    <row r="154" spans="20:24" x14ac:dyDescent="0.25">
      <c r="T154" s="25">
        <v>122941.08254847715</v>
      </c>
      <c r="U154" s="25">
        <v>335300</v>
      </c>
      <c r="V154" s="40">
        <v>212358.91745152284</v>
      </c>
      <c r="W154">
        <v>301.08254847714744</v>
      </c>
      <c r="X154">
        <v>1</v>
      </c>
    </row>
    <row r="155" spans="20:24" x14ac:dyDescent="0.25">
      <c r="T155" s="25">
        <v>111412.95758812557</v>
      </c>
      <c r="U155" s="25">
        <v>281040</v>
      </c>
      <c r="V155" s="40">
        <v>169627.04241187443</v>
      </c>
      <c r="W155">
        <v>60.95758812558315</v>
      </c>
      <c r="X155">
        <v>1</v>
      </c>
    </row>
    <row r="156" spans="20:24" x14ac:dyDescent="0.25">
      <c r="T156" s="25">
        <v>107645</v>
      </c>
      <c r="U156" s="25">
        <v>259390</v>
      </c>
      <c r="V156" s="40">
        <v>151745</v>
      </c>
      <c r="W156">
        <v>0</v>
      </c>
      <c r="X156">
        <v>0</v>
      </c>
    </row>
    <row r="157" spans="20:24" x14ac:dyDescent="0.25">
      <c r="T157" s="25">
        <v>128320.10859053151</v>
      </c>
      <c r="U157" s="25">
        <v>332780</v>
      </c>
      <c r="V157" s="40">
        <v>204459.89140946849</v>
      </c>
      <c r="W157">
        <v>1035.1085905315026</v>
      </c>
      <c r="X157">
        <v>0</v>
      </c>
    </row>
    <row r="158" spans="20:24" x14ac:dyDescent="0.25">
      <c r="T158" s="25">
        <v>95741</v>
      </c>
      <c r="U158" s="25">
        <v>221470</v>
      </c>
      <c r="V158" s="40">
        <v>125729</v>
      </c>
      <c r="W158">
        <v>0</v>
      </c>
      <c r="X158">
        <v>2</v>
      </c>
    </row>
    <row r="159" spans="20:24" x14ac:dyDescent="0.25">
      <c r="T159" s="25">
        <v>92312</v>
      </c>
      <c r="U159" s="25">
        <v>213120</v>
      </c>
      <c r="V159" s="40">
        <v>120808</v>
      </c>
      <c r="W159">
        <v>0</v>
      </c>
      <c r="X159">
        <v>2</v>
      </c>
    </row>
    <row r="160" spans="20:24" x14ac:dyDescent="0.25">
      <c r="T160" s="25">
        <v>101880</v>
      </c>
      <c r="U160" s="25">
        <v>238625</v>
      </c>
      <c r="V160" s="40">
        <v>136745</v>
      </c>
      <c r="W160">
        <v>0</v>
      </c>
      <c r="X160">
        <v>0</v>
      </c>
    </row>
    <row r="161" spans="20:24" x14ac:dyDescent="0.25">
      <c r="T161" s="25">
        <v>124656.62932238997</v>
      </c>
      <c r="U161" s="25">
        <v>332500</v>
      </c>
      <c r="V161" s="40">
        <v>207843.37067761004</v>
      </c>
      <c r="W161">
        <v>1062.2309591760104</v>
      </c>
      <c r="X161">
        <v>1</v>
      </c>
    </row>
    <row r="162" spans="20:24" x14ac:dyDescent="0.25">
      <c r="T162" s="25">
        <v>113056.16735957962</v>
      </c>
      <c r="U162" s="25">
        <v>276885</v>
      </c>
      <c r="V162" s="40">
        <v>163828.83264042038</v>
      </c>
      <c r="W162">
        <v>361.16735957962123</v>
      </c>
      <c r="X162">
        <v>0</v>
      </c>
    </row>
    <row r="163" spans="20:24" x14ac:dyDescent="0.25">
      <c r="T163" s="25">
        <v>115668.24092899196</v>
      </c>
      <c r="U163" s="25">
        <v>290790</v>
      </c>
      <c r="V163" s="40">
        <v>175121.75907100804</v>
      </c>
      <c r="W163">
        <v>800.81085856268726</v>
      </c>
      <c r="X163">
        <v>0</v>
      </c>
    </row>
    <row r="164" spans="20:24" x14ac:dyDescent="0.25">
      <c r="T164" s="25">
        <v>120084.74797313905</v>
      </c>
      <c r="U164" s="25">
        <v>307045</v>
      </c>
      <c r="V164" s="40">
        <v>186960.25202686095</v>
      </c>
      <c r="W164">
        <v>125.11126833255709</v>
      </c>
      <c r="X164">
        <v>0</v>
      </c>
    </row>
    <row r="165" spans="20:24" x14ac:dyDescent="0.25">
      <c r="T165" s="25">
        <v>108240</v>
      </c>
      <c r="U165" s="25">
        <v>260745</v>
      </c>
      <c r="V165" s="40">
        <v>152505</v>
      </c>
      <c r="W165">
        <v>0</v>
      </c>
      <c r="X165">
        <v>0</v>
      </c>
    </row>
    <row r="166" spans="20:24" x14ac:dyDescent="0.25">
      <c r="T166" s="25">
        <v>120070.02853112447</v>
      </c>
      <c r="U166" s="25">
        <v>298165</v>
      </c>
      <c r="V166" s="40">
        <v>178094.97146887553</v>
      </c>
      <c r="W166">
        <v>1755.0285311244563</v>
      </c>
      <c r="X166">
        <v>0</v>
      </c>
    </row>
    <row r="167" spans="20:24" x14ac:dyDescent="0.25">
      <c r="T167" s="25">
        <v>108712.86630031334</v>
      </c>
      <c r="U167" s="25">
        <v>283690</v>
      </c>
      <c r="V167" s="40">
        <v>174977.13369968667</v>
      </c>
      <c r="W167">
        <v>137.86630031333956</v>
      </c>
      <c r="X167">
        <v>1</v>
      </c>
    </row>
    <row r="168" spans="20:24" x14ac:dyDescent="0.25">
      <c r="T168" s="25">
        <v>97639.731494841049</v>
      </c>
      <c r="U168" s="25">
        <v>235260</v>
      </c>
      <c r="V168" s="40">
        <v>137620.26850515895</v>
      </c>
      <c r="W168">
        <v>154.73149484105022</v>
      </c>
      <c r="X168">
        <v>2</v>
      </c>
    </row>
    <row r="169" spans="20:24" x14ac:dyDescent="0.25">
      <c r="T169" s="25">
        <v>120005</v>
      </c>
      <c r="U169" s="25">
        <v>310530</v>
      </c>
      <c r="V169" s="40">
        <v>190525</v>
      </c>
      <c r="W169">
        <v>0</v>
      </c>
      <c r="X169">
        <v>0</v>
      </c>
    </row>
    <row r="170" spans="20:24" x14ac:dyDescent="0.25">
      <c r="T170" s="25">
        <v>120057</v>
      </c>
      <c r="U170" s="25">
        <v>308240</v>
      </c>
      <c r="V170" s="40">
        <v>188183</v>
      </c>
      <c r="W170">
        <v>0</v>
      </c>
      <c r="X170">
        <v>1</v>
      </c>
    </row>
    <row r="171" spans="20:24" x14ac:dyDescent="0.25">
      <c r="T171" s="25">
        <v>112354.78078885071</v>
      </c>
      <c r="U171" s="25">
        <v>282735</v>
      </c>
      <c r="V171" s="40">
        <v>170380.21921114929</v>
      </c>
      <c r="W171">
        <v>208.78078885070465</v>
      </c>
      <c r="X171">
        <v>1</v>
      </c>
    </row>
    <row r="172" spans="20:24" x14ac:dyDescent="0.25">
      <c r="T172" s="25">
        <v>119110</v>
      </c>
      <c r="U172" s="25">
        <v>314075</v>
      </c>
      <c r="V172" s="40">
        <v>194965</v>
      </c>
      <c r="W172">
        <v>0</v>
      </c>
      <c r="X172">
        <v>1</v>
      </c>
    </row>
    <row r="173" spans="20:24" x14ac:dyDescent="0.25">
      <c r="T173" s="25">
        <v>100792.08342296012</v>
      </c>
      <c r="U173" s="25">
        <v>236300</v>
      </c>
      <c r="V173" s="40">
        <v>135507.91657703987</v>
      </c>
      <c r="W173">
        <v>433.0834229601212</v>
      </c>
      <c r="X173">
        <v>1</v>
      </c>
    </row>
    <row r="174" spans="20:24" x14ac:dyDescent="0.25">
      <c r="T174" s="25">
        <v>90564.885579997324</v>
      </c>
      <c r="U174" s="25">
        <v>210595</v>
      </c>
      <c r="V174" s="40">
        <v>120030.11442000268</v>
      </c>
      <c r="W174">
        <v>212.88557999731694</v>
      </c>
      <c r="X174">
        <v>2</v>
      </c>
    </row>
    <row r="175" spans="20:24" x14ac:dyDescent="0.25">
      <c r="T175" s="25">
        <v>121633.25802334404</v>
      </c>
      <c r="U175" s="25">
        <v>321965</v>
      </c>
      <c r="V175" s="40">
        <v>200331.74197665596</v>
      </c>
      <c r="W175">
        <v>93.258023344044062</v>
      </c>
      <c r="X175">
        <v>0</v>
      </c>
    </row>
    <row r="176" spans="20:24" x14ac:dyDescent="0.25">
      <c r="T176" s="25">
        <v>120293.52521639096</v>
      </c>
      <c r="U176" s="25">
        <v>313045</v>
      </c>
      <c r="V176" s="40">
        <v>192751.47478360904</v>
      </c>
      <c r="W176">
        <v>8.525216390966186</v>
      </c>
      <c r="X176">
        <v>0</v>
      </c>
    </row>
    <row r="177" spans="20:24" x14ac:dyDescent="0.25">
      <c r="T177" s="25">
        <v>97640</v>
      </c>
      <c r="U177" s="25">
        <v>239625</v>
      </c>
      <c r="V177" s="40">
        <v>141985</v>
      </c>
      <c r="W177">
        <v>0</v>
      </c>
      <c r="X177">
        <v>2</v>
      </c>
    </row>
    <row r="178" spans="20:24" x14ac:dyDescent="0.25">
      <c r="T178" s="25">
        <v>103025</v>
      </c>
      <c r="U178" s="25">
        <v>236120</v>
      </c>
      <c r="V178" s="40">
        <v>133095</v>
      </c>
      <c r="W178">
        <v>0</v>
      </c>
      <c r="X178">
        <v>0</v>
      </c>
    </row>
    <row r="179" spans="20:24" x14ac:dyDescent="0.25">
      <c r="T179" s="25">
        <v>104095</v>
      </c>
      <c r="U179" s="25">
        <v>244025</v>
      </c>
      <c r="V179" s="40">
        <v>139930</v>
      </c>
      <c r="W179">
        <v>0</v>
      </c>
      <c r="X179">
        <v>0</v>
      </c>
    </row>
    <row r="180" spans="20:24" x14ac:dyDescent="0.25">
      <c r="T180" s="25">
        <v>105398</v>
      </c>
      <c r="U180" s="25">
        <v>249455</v>
      </c>
      <c r="V180" s="40">
        <v>144057</v>
      </c>
      <c r="W180">
        <v>0</v>
      </c>
      <c r="X180">
        <v>1</v>
      </c>
    </row>
    <row r="181" spans="20:24" x14ac:dyDescent="0.25">
      <c r="T181" s="25">
        <v>116921.27887053625</v>
      </c>
      <c r="U181" s="25">
        <v>308265</v>
      </c>
      <c r="V181" s="40">
        <v>191343.72112946375</v>
      </c>
      <c r="W181">
        <v>612.70824158591097</v>
      </c>
      <c r="X181">
        <v>1</v>
      </c>
    </row>
    <row r="182" spans="20:24" x14ac:dyDescent="0.25">
      <c r="T182" s="25">
        <v>102270</v>
      </c>
      <c r="U182" s="25">
        <v>261565</v>
      </c>
      <c r="V182" s="40">
        <v>159295</v>
      </c>
      <c r="W182">
        <v>0</v>
      </c>
      <c r="X182">
        <v>2</v>
      </c>
    </row>
    <row r="183" spans="20:24" x14ac:dyDescent="0.25">
      <c r="T183" s="25">
        <v>114923.10398116364</v>
      </c>
      <c r="U183" s="25">
        <v>285210</v>
      </c>
      <c r="V183" s="40">
        <v>170286.89601883636</v>
      </c>
      <c r="W183">
        <v>198.10398116364271</v>
      </c>
      <c r="X183">
        <v>0</v>
      </c>
    </row>
    <row r="184" spans="20:24" x14ac:dyDescent="0.25">
      <c r="T184" s="25">
        <v>115704.12662320164</v>
      </c>
      <c r="U184" s="25">
        <v>299015</v>
      </c>
      <c r="V184" s="40">
        <v>183310.87337679835</v>
      </c>
      <c r="W184">
        <v>412.12662320163651</v>
      </c>
      <c r="X184">
        <v>1</v>
      </c>
    </row>
    <row r="185" spans="20:24" x14ac:dyDescent="0.25">
      <c r="T185" s="25">
        <v>122380</v>
      </c>
      <c r="U185" s="25">
        <v>312940</v>
      </c>
      <c r="V185" s="40">
        <v>190560</v>
      </c>
      <c r="W185">
        <v>0</v>
      </c>
      <c r="X185">
        <v>0</v>
      </c>
    </row>
    <row r="186" spans="20:24" x14ac:dyDescent="0.25">
      <c r="T186" s="25">
        <v>115605</v>
      </c>
      <c r="U186" s="25">
        <v>294120</v>
      </c>
      <c r="V186" s="40">
        <v>178515</v>
      </c>
      <c r="W186">
        <v>0</v>
      </c>
      <c r="X186">
        <v>0</v>
      </c>
    </row>
    <row r="187" spans="20:24" x14ac:dyDescent="0.25">
      <c r="T187" s="25">
        <v>102731.55610915084</v>
      </c>
      <c r="U187" s="25">
        <v>239990</v>
      </c>
      <c r="V187" s="40">
        <v>137258.44389084916</v>
      </c>
      <c r="W187">
        <v>16.556109150837866</v>
      </c>
      <c r="X187">
        <v>0</v>
      </c>
    </row>
    <row r="188" spans="20:24" x14ac:dyDescent="0.25">
      <c r="T188" s="25">
        <v>101992</v>
      </c>
      <c r="U188" s="25">
        <v>255365</v>
      </c>
      <c r="V188" s="40">
        <v>153373</v>
      </c>
      <c r="W188">
        <v>0</v>
      </c>
      <c r="X188">
        <v>2</v>
      </c>
    </row>
    <row r="189" spans="20:24" x14ac:dyDescent="0.25">
      <c r="T189" s="25">
        <v>124245.77768629472</v>
      </c>
      <c r="U189" s="25">
        <v>322355</v>
      </c>
      <c r="V189" s="40">
        <v>198109.22231370528</v>
      </c>
      <c r="W189">
        <v>25.777686294722436</v>
      </c>
      <c r="X189">
        <v>0</v>
      </c>
    </row>
    <row r="190" spans="20:24" x14ac:dyDescent="0.25">
      <c r="T190" s="25">
        <v>112105</v>
      </c>
      <c r="U190" s="25">
        <v>273870</v>
      </c>
      <c r="V190" s="40">
        <v>161765</v>
      </c>
      <c r="W190">
        <v>0</v>
      </c>
      <c r="X190">
        <v>0</v>
      </c>
    </row>
    <row r="191" spans="20:24" x14ac:dyDescent="0.25">
      <c r="T191" s="25">
        <v>101743.37345770796</v>
      </c>
      <c r="U191" s="25">
        <v>246230</v>
      </c>
      <c r="V191" s="40">
        <v>144486.62654229204</v>
      </c>
      <c r="W191">
        <v>253.22522343715065</v>
      </c>
      <c r="X191">
        <v>1</v>
      </c>
    </row>
    <row r="192" spans="20:24" x14ac:dyDescent="0.25">
      <c r="T192" s="25">
        <v>119830</v>
      </c>
      <c r="U192" s="25">
        <v>305065</v>
      </c>
      <c r="V192" s="40">
        <v>185235</v>
      </c>
      <c r="W192">
        <v>0</v>
      </c>
      <c r="X192">
        <v>0</v>
      </c>
    </row>
    <row r="193" spans="20:24" x14ac:dyDescent="0.25">
      <c r="T193" s="25">
        <v>115583</v>
      </c>
      <c r="U193" s="25">
        <v>300010</v>
      </c>
      <c r="V193" s="40">
        <v>184427</v>
      </c>
      <c r="W193">
        <v>0</v>
      </c>
      <c r="X193">
        <v>1</v>
      </c>
    </row>
    <row r="194" spans="20:24" x14ac:dyDescent="0.25">
      <c r="T194" s="25">
        <v>100590</v>
      </c>
      <c r="U194" s="25">
        <v>239760</v>
      </c>
      <c r="V194" s="40">
        <v>139170</v>
      </c>
      <c r="W194">
        <v>0</v>
      </c>
      <c r="X194">
        <v>1</v>
      </c>
    </row>
    <row r="195" spans="20:24" x14ac:dyDescent="0.25">
      <c r="T195" s="25">
        <v>132030</v>
      </c>
      <c r="U195" s="25">
        <v>357755</v>
      </c>
      <c r="V195" s="40">
        <v>225725</v>
      </c>
      <c r="W195">
        <v>0</v>
      </c>
      <c r="X195">
        <v>0</v>
      </c>
    </row>
    <row r="196" spans="20:24" x14ac:dyDescent="0.25">
      <c r="T196" s="25">
        <v>98739</v>
      </c>
      <c r="U196" s="25">
        <v>232600</v>
      </c>
      <c r="V196" s="40">
        <v>133861</v>
      </c>
      <c r="W196">
        <v>0</v>
      </c>
      <c r="X196">
        <v>3</v>
      </c>
    </row>
    <row r="197" spans="20:24" x14ac:dyDescent="0.25">
      <c r="T197" s="25">
        <v>102820</v>
      </c>
      <c r="U197" s="25">
        <v>238495</v>
      </c>
      <c r="V197" s="40">
        <v>135675</v>
      </c>
      <c r="W197">
        <v>0</v>
      </c>
      <c r="X197">
        <v>0</v>
      </c>
    </row>
    <row r="198" spans="20:24" x14ac:dyDescent="0.25">
      <c r="T198" s="25">
        <v>130475.41000726554</v>
      </c>
      <c r="U198" s="25">
        <v>343140</v>
      </c>
      <c r="V198" s="40">
        <v>212664.58999273446</v>
      </c>
      <c r="W198">
        <v>15.410007265540189</v>
      </c>
      <c r="X198">
        <v>0</v>
      </c>
    </row>
    <row r="199" spans="20:24" x14ac:dyDescent="0.25">
      <c r="T199" s="25">
        <v>124360</v>
      </c>
      <c r="U199" s="25">
        <v>322050</v>
      </c>
      <c r="V199" s="40">
        <v>197690</v>
      </c>
      <c r="W199">
        <v>0</v>
      </c>
      <c r="X199">
        <v>0</v>
      </c>
    </row>
    <row r="200" spans="20:24" x14ac:dyDescent="0.25">
      <c r="T200" s="25">
        <v>97055</v>
      </c>
      <c r="U200" s="25">
        <v>222485</v>
      </c>
      <c r="V200" s="40">
        <v>125430</v>
      </c>
      <c r="W200">
        <v>0</v>
      </c>
      <c r="X200">
        <v>2</v>
      </c>
    </row>
    <row r="201" spans="20:24" x14ac:dyDescent="0.25">
      <c r="T201" s="25">
        <v>118615.77369569571</v>
      </c>
      <c r="U201" s="25">
        <v>307970</v>
      </c>
      <c r="V201" s="40">
        <v>189354.22630430429</v>
      </c>
      <c r="W201">
        <v>430.77369569570243</v>
      </c>
      <c r="X201">
        <v>0</v>
      </c>
    </row>
    <row r="202" spans="20:24" x14ac:dyDescent="0.25">
      <c r="T202" s="25">
        <v>112610</v>
      </c>
      <c r="U202" s="25">
        <v>289020</v>
      </c>
      <c r="V202" s="40">
        <v>176410</v>
      </c>
      <c r="W202">
        <v>0</v>
      </c>
      <c r="X202">
        <v>1</v>
      </c>
    </row>
    <row r="203" spans="20:24" x14ac:dyDescent="0.25">
      <c r="T203" s="25">
        <v>110762</v>
      </c>
      <c r="U203" s="25">
        <v>273020</v>
      </c>
      <c r="V203" s="40">
        <v>162258</v>
      </c>
      <c r="W203">
        <v>0</v>
      </c>
      <c r="X203">
        <v>1</v>
      </c>
    </row>
    <row r="204" spans="20:24" x14ac:dyDescent="0.25">
      <c r="T204" s="25">
        <v>111095</v>
      </c>
      <c r="U204" s="25">
        <v>270575</v>
      </c>
      <c r="V204" s="40">
        <v>159480</v>
      </c>
      <c r="W204">
        <v>0</v>
      </c>
      <c r="X204">
        <v>0</v>
      </c>
    </row>
    <row r="205" spans="20:24" x14ac:dyDescent="0.25">
      <c r="T205" s="25">
        <v>108214.6997621411</v>
      </c>
      <c r="U205" s="25">
        <v>249660</v>
      </c>
      <c r="V205" s="40">
        <v>141445.3002378589</v>
      </c>
      <c r="W205">
        <v>34.699762141096542</v>
      </c>
      <c r="X205">
        <v>0</v>
      </c>
    </row>
    <row r="206" spans="20:24" x14ac:dyDescent="0.25">
      <c r="T206" s="25">
        <v>113435</v>
      </c>
      <c r="U206" s="25">
        <v>278620</v>
      </c>
      <c r="V206" s="40">
        <v>165185</v>
      </c>
      <c r="W206">
        <v>0</v>
      </c>
      <c r="X206">
        <v>0</v>
      </c>
    </row>
    <row r="207" spans="20:24" x14ac:dyDescent="0.25">
      <c r="T207" s="25">
        <v>102411.22468355222</v>
      </c>
      <c r="U207" s="25">
        <v>249265</v>
      </c>
      <c r="V207" s="40">
        <v>146853.77531644778</v>
      </c>
      <c r="W207">
        <v>376.5900082015188</v>
      </c>
      <c r="X207">
        <v>1</v>
      </c>
    </row>
    <row r="208" spans="20:24" x14ac:dyDescent="0.25">
      <c r="T208" s="25">
        <v>124050.19503064813</v>
      </c>
      <c r="U208" s="25">
        <v>327560</v>
      </c>
      <c r="V208" s="40">
        <v>203509.80496935186</v>
      </c>
      <c r="W208">
        <v>1155.1950306481351</v>
      </c>
      <c r="X208">
        <v>0</v>
      </c>
    </row>
    <row r="209" spans="20:24" x14ac:dyDescent="0.25">
      <c r="T209" s="25">
        <v>120821.75779769401</v>
      </c>
      <c r="U209" s="25">
        <v>309115</v>
      </c>
      <c r="V209" s="40">
        <v>188293.24220230599</v>
      </c>
      <c r="W209">
        <v>196.75779769400233</v>
      </c>
      <c r="X209">
        <v>0</v>
      </c>
    </row>
    <row r="210" spans="20:24" x14ac:dyDescent="0.25">
      <c r="T210" s="25">
        <v>103373</v>
      </c>
      <c r="U210" s="25">
        <v>239720</v>
      </c>
      <c r="V210" s="40">
        <v>136347</v>
      </c>
      <c r="W210">
        <v>0</v>
      </c>
      <c r="X210">
        <v>1</v>
      </c>
    </row>
    <row r="211" spans="20:24" x14ac:dyDescent="0.25">
      <c r="T211" s="25">
        <v>122080</v>
      </c>
      <c r="U211" s="25">
        <v>315880</v>
      </c>
      <c r="V211" s="40">
        <v>193800</v>
      </c>
      <c r="W211">
        <v>0</v>
      </c>
      <c r="X211">
        <v>0</v>
      </c>
    </row>
    <row r="212" spans="20:24" x14ac:dyDescent="0.25">
      <c r="T212" s="25">
        <v>116140</v>
      </c>
      <c r="U212" s="25">
        <v>289635</v>
      </c>
      <c r="V212" s="40">
        <v>173495</v>
      </c>
      <c r="W212">
        <v>0</v>
      </c>
      <c r="X212">
        <v>0</v>
      </c>
    </row>
    <row r="213" spans="20:24" x14ac:dyDescent="0.25">
      <c r="T213" s="25">
        <v>120507.15922468483</v>
      </c>
      <c r="U213" s="25">
        <v>304495</v>
      </c>
      <c r="V213" s="40">
        <v>183987.84077531518</v>
      </c>
      <c r="W213">
        <v>317.15922468482552</v>
      </c>
      <c r="X213">
        <v>0</v>
      </c>
    </row>
    <row r="214" spans="20:24" x14ac:dyDescent="0.25">
      <c r="T214" s="25">
        <v>116507</v>
      </c>
      <c r="U214" s="25">
        <v>293365</v>
      </c>
      <c r="V214" s="40">
        <v>176858</v>
      </c>
      <c r="W214">
        <v>0</v>
      </c>
      <c r="X214">
        <v>1</v>
      </c>
    </row>
    <row r="215" spans="20:24" x14ac:dyDescent="0.25">
      <c r="T215" s="25">
        <v>116138.47251535163</v>
      </c>
      <c r="U215" s="25">
        <v>285895</v>
      </c>
      <c r="V215" s="40">
        <v>169756.52748464837</v>
      </c>
      <c r="W215">
        <v>250.51971839999038</v>
      </c>
      <c r="X215">
        <v>0</v>
      </c>
    </row>
    <row r="216" spans="20:24" x14ac:dyDescent="0.25">
      <c r="T216" s="25">
        <v>108617</v>
      </c>
      <c r="U216" s="25">
        <v>268070</v>
      </c>
      <c r="V216" s="40">
        <v>159453</v>
      </c>
      <c r="W216">
        <v>0</v>
      </c>
      <c r="X216">
        <v>1</v>
      </c>
    </row>
    <row r="217" spans="20:24" x14ac:dyDescent="0.25">
      <c r="T217" s="25">
        <v>107447.69023310201</v>
      </c>
      <c r="U217" s="25">
        <v>257210</v>
      </c>
      <c r="V217" s="40">
        <v>149762.30976689799</v>
      </c>
      <c r="W217">
        <v>522.69023310201396</v>
      </c>
      <c r="X217">
        <v>0</v>
      </c>
    </row>
    <row r="218" spans="20:24" x14ac:dyDescent="0.25">
      <c r="T218" s="25">
        <v>108317</v>
      </c>
      <c r="U218" s="25">
        <v>273550</v>
      </c>
      <c r="V218" s="40">
        <v>165233</v>
      </c>
      <c r="W218">
        <v>0</v>
      </c>
      <c r="X218">
        <v>1</v>
      </c>
    </row>
    <row r="219" spans="20:24" x14ac:dyDescent="0.25">
      <c r="T219" s="25">
        <v>119178.80509076129</v>
      </c>
      <c r="U219" s="25">
        <v>305685</v>
      </c>
      <c r="V219" s="40">
        <v>186506.19490923872</v>
      </c>
      <c r="W219">
        <v>185.52002741841568</v>
      </c>
      <c r="X219">
        <v>0</v>
      </c>
    </row>
    <row r="220" spans="20:24" x14ac:dyDescent="0.25">
      <c r="T220" s="25">
        <v>122295</v>
      </c>
      <c r="U220" s="25">
        <v>316805</v>
      </c>
      <c r="V220" s="40">
        <v>194510</v>
      </c>
      <c r="W220">
        <v>0</v>
      </c>
      <c r="X220">
        <v>0</v>
      </c>
    </row>
    <row r="221" spans="20:24" x14ac:dyDescent="0.25">
      <c r="T221" s="25">
        <v>113380</v>
      </c>
      <c r="U221" s="25">
        <v>278205</v>
      </c>
      <c r="V221" s="40">
        <v>164825</v>
      </c>
      <c r="W221">
        <v>0</v>
      </c>
      <c r="X221">
        <v>0</v>
      </c>
    </row>
    <row r="222" spans="20:24" x14ac:dyDescent="0.25">
      <c r="T222" s="25">
        <v>109765</v>
      </c>
      <c r="U222" s="25">
        <v>263610</v>
      </c>
      <c r="V222" s="40">
        <v>153845</v>
      </c>
      <c r="W222">
        <v>0</v>
      </c>
      <c r="X222">
        <v>0</v>
      </c>
    </row>
    <row r="223" spans="20:24" x14ac:dyDescent="0.25">
      <c r="T223" s="25">
        <v>108565</v>
      </c>
      <c r="U223" s="25">
        <v>279205</v>
      </c>
      <c r="V223" s="40">
        <v>170640</v>
      </c>
      <c r="W223">
        <v>0</v>
      </c>
      <c r="X223">
        <v>1</v>
      </c>
    </row>
    <row r="224" spans="20:24" x14ac:dyDescent="0.25">
      <c r="T224" s="25">
        <v>100024.39590772385</v>
      </c>
      <c r="U224" s="25">
        <v>240555</v>
      </c>
      <c r="V224" s="40">
        <v>140530.60409227613</v>
      </c>
      <c r="W224">
        <v>173.39590772385861</v>
      </c>
      <c r="X224">
        <v>1</v>
      </c>
    </row>
    <row r="225" spans="20:24" x14ac:dyDescent="0.25">
      <c r="T225" s="25">
        <v>97895.836948919648</v>
      </c>
      <c r="U225" s="25">
        <v>221415</v>
      </c>
      <c r="V225" s="40">
        <v>123519.16305108035</v>
      </c>
      <c r="W225">
        <v>689.83694891965467</v>
      </c>
      <c r="X225">
        <v>1</v>
      </c>
    </row>
    <row r="226" spans="20:24" x14ac:dyDescent="0.25">
      <c r="T226" s="25">
        <v>108682.82112205568</v>
      </c>
      <c r="U226" s="25">
        <v>256920</v>
      </c>
      <c r="V226" s="40">
        <v>148237.17887794433</v>
      </c>
      <c r="W226">
        <v>907.82112205568126</v>
      </c>
      <c r="X226">
        <v>0</v>
      </c>
    </row>
    <row r="227" spans="20:24" x14ac:dyDescent="0.25">
      <c r="T227" s="25">
        <v>108337</v>
      </c>
      <c r="U227" s="25">
        <v>267070</v>
      </c>
      <c r="V227" s="40">
        <v>158733</v>
      </c>
      <c r="W227">
        <v>0</v>
      </c>
      <c r="X227">
        <v>1</v>
      </c>
    </row>
    <row r="228" spans="20:24" x14ac:dyDescent="0.25">
      <c r="T228" s="25">
        <v>111261.34211494066</v>
      </c>
      <c r="U228" s="25">
        <v>272800</v>
      </c>
      <c r="V228" s="40">
        <v>161538.65788505934</v>
      </c>
      <c r="W228">
        <v>161.34211494067125</v>
      </c>
      <c r="X228">
        <v>0</v>
      </c>
    </row>
    <row r="229" spans="20:24" x14ac:dyDescent="0.25">
      <c r="T229" s="25">
        <v>115990</v>
      </c>
      <c r="U229" s="25">
        <v>287695</v>
      </c>
      <c r="V229" s="40">
        <v>171705</v>
      </c>
      <c r="W229">
        <v>0</v>
      </c>
      <c r="X229">
        <v>0</v>
      </c>
    </row>
    <row r="230" spans="20:24" x14ac:dyDescent="0.25">
      <c r="T230" s="25">
        <v>104880</v>
      </c>
      <c r="U230" s="25">
        <v>242225</v>
      </c>
      <c r="V230" s="40">
        <v>137345</v>
      </c>
      <c r="W230">
        <v>0</v>
      </c>
      <c r="X230">
        <v>0</v>
      </c>
    </row>
    <row r="231" spans="20:24" x14ac:dyDescent="0.25">
      <c r="T231" s="25">
        <v>99855</v>
      </c>
      <c r="U231" s="25">
        <v>238895</v>
      </c>
      <c r="V231" s="40">
        <v>139040</v>
      </c>
      <c r="W231">
        <v>0</v>
      </c>
      <c r="X231">
        <v>1</v>
      </c>
    </row>
    <row r="232" spans="20:24" x14ac:dyDescent="0.25">
      <c r="T232" s="25">
        <v>108445</v>
      </c>
      <c r="U232" s="25">
        <v>259175</v>
      </c>
      <c r="V232" s="40">
        <v>150730</v>
      </c>
      <c r="W232">
        <v>0</v>
      </c>
      <c r="X232">
        <v>0</v>
      </c>
    </row>
    <row r="233" spans="20:24" x14ac:dyDescent="0.25">
      <c r="T233" s="25">
        <v>89807</v>
      </c>
      <c r="U233" s="25">
        <v>199790</v>
      </c>
      <c r="V233" s="40">
        <v>109983</v>
      </c>
      <c r="W233">
        <v>0</v>
      </c>
      <c r="X233">
        <v>1</v>
      </c>
    </row>
    <row r="234" spans="20:24" x14ac:dyDescent="0.25">
      <c r="T234" s="25">
        <v>115360</v>
      </c>
      <c r="U234" s="25">
        <v>288950</v>
      </c>
      <c r="V234" s="40">
        <v>173590</v>
      </c>
      <c r="W234">
        <v>0</v>
      </c>
      <c r="X234">
        <v>0</v>
      </c>
    </row>
    <row r="235" spans="20:24" x14ac:dyDescent="0.25">
      <c r="T235" s="25">
        <v>124685.24993878385</v>
      </c>
      <c r="U235" s="25">
        <v>322580</v>
      </c>
      <c r="V235" s="40">
        <v>197894.75006121615</v>
      </c>
      <c r="W235">
        <v>1025.2499387838427</v>
      </c>
      <c r="X235">
        <v>0</v>
      </c>
    </row>
    <row r="236" spans="20:24" x14ac:dyDescent="0.25">
      <c r="T236" s="25">
        <v>110965.34398871112</v>
      </c>
      <c r="U236" s="25">
        <v>270285</v>
      </c>
      <c r="V236" s="40">
        <v>159319.6560112889</v>
      </c>
      <c r="W236">
        <v>865.73250684463119</v>
      </c>
      <c r="X236">
        <v>1</v>
      </c>
    </row>
    <row r="237" spans="20:24" x14ac:dyDescent="0.25">
      <c r="T237" s="25">
        <v>116210</v>
      </c>
      <c r="U237" s="25">
        <v>295210</v>
      </c>
      <c r="V237" s="40">
        <v>179000</v>
      </c>
      <c r="W237">
        <v>0</v>
      </c>
      <c r="X237">
        <v>0</v>
      </c>
    </row>
    <row r="238" spans="20:24" x14ac:dyDescent="0.25">
      <c r="T238" s="25">
        <v>100048.3655726297</v>
      </c>
      <c r="U238" s="25">
        <v>225795</v>
      </c>
      <c r="V238" s="40">
        <v>125746.6344273703</v>
      </c>
      <c r="W238">
        <v>545.19529710420716</v>
      </c>
      <c r="X238">
        <v>1</v>
      </c>
    </row>
    <row r="239" spans="20:24" x14ac:dyDescent="0.25">
      <c r="T239" s="25">
        <v>130605</v>
      </c>
      <c r="U239" s="25">
        <v>346365</v>
      </c>
      <c r="V239" s="40">
        <v>215760</v>
      </c>
      <c r="W239">
        <v>0</v>
      </c>
      <c r="X239">
        <v>0</v>
      </c>
    </row>
    <row r="240" spans="20:24" x14ac:dyDescent="0.25">
      <c r="T240" s="25">
        <v>114620</v>
      </c>
      <c r="U240" s="25">
        <v>289255</v>
      </c>
      <c r="V240" s="40">
        <v>174635</v>
      </c>
      <c r="W240">
        <v>0</v>
      </c>
      <c r="X240">
        <v>0</v>
      </c>
    </row>
    <row r="241" spans="20:24" x14ac:dyDescent="0.25">
      <c r="T241" s="25">
        <v>100641</v>
      </c>
      <c r="U241" s="25">
        <v>255195</v>
      </c>
      <c r="V241" s="40">
        <v>154554</v>
      </c>
      <c r="W241">
        <v>0</v>
      </c>
      <c r="X241">
        <v>3</v>
      </c>
    </row>
    <row r="242" spans="20:24" x14ac:dyDescent="0.25">
      <c r="T242" s="25">
        <v>125399.19566972512</v>
      </c>
      <c r="U242" s="25">
        <v>322815</v>
      </c>
      <c r="V242" s="40">
        <v>197415.80433027487</v>
      </c>
      <c r="W242">
        <v>704.19566972511677</v>
      </c>
      <c r="X242">
        <v>0</v>
      </c>
    </row>
    <row r="243" spans="20:24" x14ac:dyDescent="0.25">
      <c r="T243" s="25">
        <v>123420</v>
      </c>
      <c r="U243" s="25">
        <v>319875</v>
      </c>
      <c r="V243" s="40">
        <v>196455</v>
      </c>
      <c r="W243">
        <v>0</v>
      </c>
      <c r="X243">
        <v>0</v>
      </c>
    </row>
    <row r="244" spans="20:24" x14ac:dyDescent="0.25">
      <c r="T244" s="25">
        <v>115062.03086216912</v>
      </c>
      <c r="U244" s="25">
        <v>286195</v>
      </c>
      <c r="V244" s="40">
        <v>171132.96913783089</v>
      </c>
      <c r="W244">
        <v>475.03086216911908</v>
      </c>
      <c r="X244">
        <v>1</v>
      </c>
    </row>
    <row r="245" spans="20:24" x14ac:dyDescent="0.25">
      <c r="T245" s="25">
        <v>107550</v>
      </c>
      <c r="U245" s="25">
        <v>256515</v>
      </c>
      <c r="V245" s="40">
        <v>148965</v>
      </c>
      <c r="W245">
        <v>0</v>
      </c>
      <c r="X245">
        <v>0</v>
      </c>
    </row>
    <row r="246" spans="20:24" x14ac:dyDescent="0.25">
      <c r="T246" s="25">
        <v>103943.90980271831</v>
      </c>
      <c r="U246" s="25">
        <v>253075</v>
      </c>
      <c r="V246" s="40">
        <v>149131.09019728168</v>
      </c>
      <c r="W246">
        <v>158.90980271830966</v>
      </c>
      <c r="X246">
        <v>1</v>
      </c>
    </row>
    <row r="247" spans="20:24" x14ac:dyDescent="0.25">
      <c r="T247" s="25">
        <v>106867.48107718416</v>
      </c>
      <c r="U247" s="25">
        <v>246475</v>
      </c>
      <c r="V247" s="40">
        <v>139607.51892281586</v>
      </c>
      <c r="W247">
        <v>117.48107718415538</v>
      </c>
      <c r="X247">
        <v>0</v>
      </c>
    </row>
    <row r="248" spans="20:24" x14ac:dyDescent="0.25">
      <c r="T248" s="25">
        <v>123685.56364815342</v>
      </c>
      <c r="U248" s="25">
        <v>319220</v>
      </c>
      <c r="V248" s="40">
        <v>195534.43635184658</v>
      </c>
      <c r="W248">
        <v>177.71654226515074</v>
      </c>
      <c r="X248">
        <v>0</v>
      </c>
    </row>
    <row r="249" spans="20:24" x14ac:dyDescent="0.25">
      <c r="T249" s="25">
        <v>114855</v>
      </c>
      <c r="U249" s="25">
        <v>291070</v>
      </c>
      <c r="V249" s="40">
        <v>176215</v>
      </c>
      <c r="W249">
        <v>0</v>
      </c>
      <c r="X249">
        <v>0</v>
      </c>
    </row>
    <row r="250" spans="20:24" x14ac:dyDescent="0.25">
      <c r="T250" s="25">
        <v>103356.47512525067</v>
      </c>
      <c r="U250" s="25">
        <v>241860</v>
      </c>
      <c r="V250" s="40">
        <v>138503.52487474933</v>
      </c>
      <c r="W250">
        <v>81.475125250674566</v>
      </c>
      <c r="X250">
        <v>0</v>
      </c>
    </row>
    <row r="251" spans="20:24" x14ac:dyDescent="0.25">
      <c r="T251" s="25">
        <v>91166</v>
      </c>
      <c r="U251" s="25">
        <v>207115</v>
      </c>
      <c r="V251" s="40">
        <v>115949</v>
      </c>
      <c r="W251">
        <v>0</v>
      </c>
      <c r="X251">
        <v>2</v>
      </c>
    </row>
    <row r="252" spans="20:24" x14ac:dyDescent="0.25">
      <c r="T252" s="25">
        <v>100537</v>
      </c>
      <c r="U252" s="25">
        <v>238655</v>
      </c>
      <c r="V252" s="40">
        <v>138118</v>
      </c>
      <c r="W252">
        <v>0</v>
      </c>
      <c r="X252">
        <v>2</v>
      </c>
    </row>
    <row r="253" spans="20:24" x14ac:dyDescent="0.25">
      <c r="T253" s="25">
        <v>122307</v>
      </c>
      <c r="U253" s="25">
        <v>319425</v>
      </c>
      <c r="V253" s="40">
        <v>197118</v>
      </c>
      <c r="W253">
        <v>0</v>
      </c>
      <c r="X253">
        <v>1</v>
      </c>
    </row>
    <row r="254" spans="20:24" x14ac:dyDescent="0.25">
      <c r="T254" s="25">
        <v>108420</v>
      </c>
      <c r="U254" s="25">
        <v>262665</v>
      </c>
      <c r="V254" s="40">
        <v>154245</v>
      </c>
      <c r="W254">
        <v>0</v>
      </c>
      <c r="X254">
        <v>0</v>
      </c>
    </row>
    <row r="255" spans="20:24" x14ac:dyDescent="0.25">
      <c r="T255" s="25">
        <v>113835</v>
      </c>
      <c r="U255" s="25">
        <v>288175</v>
      </c>
      <c r="V255" s="40">
        <v>174340</v>
      </c>
      <c r="W255">
        <v>0</v>
      </c>
      <c r="X255">
        <v>0</v>
      </c>
    </row>
    <row r="256" spans="20:24" x14ac:dyDescent="0.25">
      <c r="T256" s="25">
        <v>118336.48182408998</v>
      </c>
      <c r="U256" s="25">
        <v>293595</v>
      </c>
      <c r="V256" s="40">
        <v>175258.51817591005</v>
      </c>
      <c r="W256">
        <v>328.11726473881561</v>
      </c>
      <c r="X256">
        <v>0</v>
      </c>
    </row>
    <row r="257" spans="20:24" x14ac:dyDescent="0.25">
      <c r="T257" s="25">
        <v>106531.72139734708</v>
      </c>
      <c r="U257" s="25">
        <v>256135</v>
      </c>
      <c r="V257" s="40">
        <v>149603.27860265292</v>
      </c>
      <c r="W257">
        <v>31.721397347074369</v>
      </c>
      <c r="X257">
        <v>0</v>
      </c>
    </row>
    <row r="258" spans="20:24" x14ac:dyDescent="0.25">
      <c r="T258" s="25">
        <v>122650</v>
      </c>
      <c r="U258" s="25">
        <v>324720</v>
      </c>
      <c r="V258" s="40">
        <v>202070</v>
      </c>
      <c r="W258">
        <v>0</v>
      </c>
      <c r="X258">
        <v>0</v>
      </c>
    </row>
    <row r="259" spans="20:24" x14ac:dyDescent="0.25">
      <c r="T259" s="25">
        <v>98943.761568208763</v>
      </c>
      <c r="U259" s="25">
        <v>236255</v>
      </c>
      <c r="V259" s="40">
        <v>137311.23843179125</v>
      </c>
      <c r="W259">
        <v>241.76156820876486</v>
      </c>
      <c r="X259">
        <v>1</v>
      </c>
    </row>
    <row r="260" spans="20:24" x14ac:dyDescent="0.25">
      <c r="T260" s="25">
        <v>124352.64778451349</v>
      </c>
      <c r="U260" s="25">
        <v>321785</v>
      </c>
      <c r="V260" s="40">
        <v>197432.35221548652</v>
      </c>
      <c r="W260">
        <v>257.64778451349076</v>
      </c>
      <c r="X260">
        <v>0</v>
      </c>
    </row>
    <row r="261" spans="20:24" x14ac:dyDescent="0.25">
      <c r="T261" s="25">
        <v>107956.85289746127</v>
      </c>
      <c r="U261" s="25">
        <v>261800</v>
      </c>
      <c r="V261" s="40">
        <v>153843.14710253873</v>
      </c>
      <c r="W261">
        <v>213.80914235555068</v>
      </c>
      <c r="X261">
        <v>0</v>
      </c>
    </row>
    <row r="262" spans="20:24" x14ac:dyDescent="0.25">
      <c r="T262" s="25">
        <v>116967.01466086486</v>
      </c>
      <c r="U262" s="25">
        <v>298835</v>
      </c>
      <c r="V262" s="40">
        <v>181867.98533913514</v>
      </c>
      <c r="W262">
        <v>82.014660864859096</v>
      </c>
      <c r="X262">
        <v>0</v>
      </c>
    </row>
    <row r="263" spans="20:24" x14ac:dyDescent="0.25">
      <c r="T263" s="25">
        <v>94257.359079857677</v>
      </c>
      <c r="U263" s="25">
        <v>234940</v>
      </c>
      <c r="V263" s="40">
        <v>140682.64092014232</v>
      </c>
      <c r="W263">
        <v>457.35907985767221</v>
      </c>
      <c r="X263">
        <v>2</v>
      </c>
    </row>
    <row r="264" spans="20:24" x14ac:dyDescent="0.25">
      <c r="T264" s="25">
        <v>130068.88191411117</v>
      </c>
      <c r="U264" s="25">
        <v>346380</v>
      </c>
      <c r="V264" s="40">
        <v>216311.1180858888</v>
      </c>
      <c r="W264">
        <v>564.38744946050269</v>
      </c>
      <c r="X264">
        <v>0</v>
      </c>
    </row>
    <row r="265" spans="20:24" x14ac:dyDescent="0.25">
      <c r="T265" s="25">
        <v>119490</v>
      </c>
      <c r="U265" s="25">
        <v>303300</v>
      </c>
      <c r="V265" s="40">
        <v>183810</v>
      </c>
      <c r="W265">
        <v>0</v>
      </c>
      <c r="X265">
        <v>0</v>
      </c>
    </row>
    <row r="266" spans="20:24" x14ac:dyDescent="0.25">
      <c r="T266" s="25">
        <v>122655</v>
      </c>
      <c r="U266" s="25">
        <v>310275</v>
      </c>
      <c r="V266" s="40">
        <v>187620</v>
      </c>
      <c r="W266">
        <v>0</v>
      </c>
      <c r="X266">
        <v>0</v>
      </c>
    </row>
    <row r="267" spans="20:24" x14ac:dyDescent="0.25">
      <c r="T267" s="25">
        <v>109240</v>
      </c>
      <c r="U267" s="25">
        <v>261085</v>
      </c>
      <c r="V267" s="40">
        <v>151845</v>
      </c>
      <c r="W267">
        <v>0</v>
      </c>
      <c r="X267">
        <v>0</v>
      </c>
    </row>
    <row r="268" spans="20:24" x14ac:dyDescent="0.25">
      <c r="T268" s="25">
        <v>112445</v>
      </c>
      <c r="U268" s="25">
        <v>290130</v>
      </c>
      <c r="V268" s="40">
        <v>177685</v>
      </c>
      <c r="W268">
        <v>0</v>
      </c>
      <c r="X268">
        <v>1</v>
      </c>
    </row>
    <row r="269" spans="20:24" x14ac:dyDescent="0.25">
      <c r="T269" s="25">
        <v>108327.61639855066</v>
      </c>
      <c r="U269" s="25">
        <v>264085</v>
      </c>
      <c r="V269" s="40">
        <v>155757.38360144934</v>
      </c>
      <c r="W269">
        <v>1337.6163985506503</v>
      </c>
      <c r="X269">
        <v>1</v>
      </c>
    </row>
    <row r="270" spans="20:24" x14ac:dyDescent="0.25">
      <c r="T270" s="25">
        <v>111275</v>
      </c>
      <c r="U270" s="25">
        <v>284890</v>
      </c>
      <c r="V270" s="40">
        <v>173615</v>
      </c>
      <c r="W270">
        <v>0</v>
      </c>
      <c r="X270">
        <v>1</v>
      </c>
    </row>
    <row r="271" spans="20:24" x14ac:dyDescent="0.25">
      <c r="T271" s="25">
        <v>103915</v>
      </c>
      <c r="U271" s="25">
        <v>244480</v>
      </c>
      <c r="V271" s="40">
        <v>140565</v>
      </c>
      <c r="W271">
        <v>0</v>
      </c>
      <c r="X271">
        <v>1</v>
      </c>
    </row>
    <row r="272" spans="20:24" x14ac:dyDescent="0.25">
      <c r="T272" s="25">
        <v>117530</v>
      </c>
      <c r="U272" s="25">
        <v>297625</v>
      </c>
      <c r="V272" s="40">
        <v>180095</v>
      </c>
      <c r="W272">
        <v>0</v>
      </c>
      <c r="X272">
        <v>0</v>
      </c>
    </row>
    <row r="273" spans="20:24" x14ac:dyDescent="0.25">
      <c r="T273" s="25">
        <v>108288</v>
      </c>
      <c r="U273" s="25">
        <v>259705</v>
      </c>
      <c r="V273" s="40">
        <v>151417</v>
      </c>
      <c r="W273">
        <v>0</v>
      </c>
      <c r="X273">
        <v>1</v>
      </c>
    </row>
    <row r="274" spans="20:24" x14ac:dyDescent="0.25">
      <c r="T274" s="25">
        <v>119415</v>
      </c>
      <c r="U274" s="25">
        <v>306440</v>
      </c>
      <c r="V274" s="40">
        <v>187025</v>
      </c>
      <c r="W274">
        <v>0</v>
      </c>
      <c r="X274">
        <v>0</v>
      </c>
    </row>
    <row r="275" spans="20:24" x14ac:dyDescent="0.25">
      <c r="T275" s="25">
        <v>118016.50671297168</v>
      </c>
      <c r="U275" s="25">
        <v>301745</v>
      </c>
      <c r="V275" s="40">
        <v>183728.49328702834</v>
      </c>
      <c r="W275">
        <v>596.50671297167628</v>
      </c>
      <c r="X275">
        <v>0</v>
      </c>
    </row>
    <row r="276" spans="20:24" x14ac:dyDescent="0.25">
      <c r="T276" s="25">
        <v>103430</v>
      </c>
      <c r="U276" s="25">
        <v>237040</v>
      </c>
      <c r="V276" s="40">
        <v>133610</v>
      </c>
      <c r="W276">
        <v>0</v>
      </c>
      <c r="X276">
        <v>0</v>
      </c>
    </row>
    <row r="277" spans="20:24" x14ac:dyDescent="0.25">
      <c r="T277" s="25">
        <v>121265</v>
      </c>
      <c r="U277" s="25">
        <v>305330</v>
      </c>
      <c r="V277" s="40">
        <v>184065</v>
      </c>
      <c r="W277">
        <v>0</v>
      </c>
      <c r="X277">
        <v>0</v>
      </c>
    </row>
    <row r="278" spans="20:24" x14ac:dyDescent="0.25">
      <c r="T278" s="25">
        <v>116695.75847161771</v>
      </c>
      <c r="U278" s="25">
        <v>300660</v>
      </c>
      <c r="V278" s="40">
        <v>183964.24152838229</v>
      </c>
      <c r="W278">
        <v>531.43572607800184</v>
      </c>
      <c r="X278">
        <v>1</v>
      </c>
    </row>
    <row r="279" spans="20:24" x14ac:dyDescent="0.25">
      <c r="T279" s="25">
        <v>87751.909009509458</v>
      </c>
      <c r="U279" s="25">
        <v>211700</v>
      </c>
      <c r="V279" s="40">
        <v>123948.09099049054</v>
      </c>
      <c r="W279">
        <v>479.90900950946116</v>
      </c>
      <c r="X279">
        <v>3</v>
      </c>
    </row>
    <row r="280" spans="20:24" x14ac:dyDescent="0.25">
      <c r="T280" s="25">
        <v>107401</v>
      </c>
      <c r="U280" s="25">
        <v>258880</v>
      </c>
      <c r="V280" s="40">
        <v>151479</v>
      </c>
      <c r="W280">
        <v>0</v>
      </c>
      <c r="X280">
        <v>1</v>
      </c>
    </row>
    <row r="281" spans="20:24" x14ac:dyDescent="0.25">
      <c r="T281" s="25">
        <v>107125</v>
      </c>
      <c r="U281" s="25">
        <v>251280</v>
      </c>
      <c r="V281" s="40">
        <v>144155</v>
      </c>
      <c r="W281">
        <v>0</v>
      </c>
      <c r="X281">
        <v>0</v>
      </c>
    </row>
    <row r="282" spans="20:24" x14ac:dyDescent="0.25">
      <c r="T282" s="25">
        <v>126154.49510762974</v>
      </c>
      <c r="U282" s="25">
        <v>329555</v>
      </c>
      <c r="V282" s="40">
        <v>203400.50489237029</v>
      </c>
      <c r="W282">
        <v>269.75025714803991</v>
      </c>
      <c r="X282">
        <v>0</v>
      </c>
    </row>
    <row r="283" spans="20:24" x14ac:dyDescent="0.25">
      <c r="T283" s="25">
        <v>120805</v>
      </c>
      <c r="U283" s="25">
        <v>313920</v>
      </c>
      <c r="V283" s="40">
        <v>193115</v>
      </c>
      <c r="W283">
        <v>0</v>
      </c>
      <c r="X283">
        <v>0</v>
      </c>
    </row>
    <row r="284" spans="20:24" x14ac:dyDescent="0.25">
      <c r="T284" s="25">
        <v>110824.20267826135</v>
      </c>
      <c r="U284" s="25">
        <v>267305</v>
      </c>
      <c r="V284" s="40">
        <v>156480.79732173865</v>
      </c>
      <c r="W284">
        <v>233.86545454080476</v>
      </c>
      <c r="X284">
        <v>0</v>
      </c>
    </row>
    <row r="285" spans="20:24" x14ac:dyDescent="0.25">
      <c r="T285" s="25">
        <v>111553.49340115843</v>
      </c>
      <c r="U285" s="25">
        <v>279350</v>
      </c>
      <c r="V285" s="40">
        <v>167796.50659884157</v>
      </c>
      <c r="W285">
        <v>123.49340115842875</v>
      </c>
      <c r="X285">
        <v>0</v>
      </c>
    </row>
    <row r="286" spans="20:24" x14ac:dyDescent="0.25">
      <c r="T286" s="25">
        <v>112630</v>
      </c>
      <c r="U286" s="25">
        <v>277380</v>
      </c>
      <c r="V286" s="40">
        <v>164750</v>
      </c>
      <c r="W286">
        <v>0</v>
      </c>
      <c r="X286">
        <v>0</v>
      </c>
    </row>
    <row r="287" spans="20:24" x14ac:dyDescent="0.25">
      <c r="T287" s="25">
        <v>119560</v>
      </c>
      <c r="U287" s="25">
        <v>304785</v>
      </c>
      <c r="V287" s="40">
        <v>185225</v>
      </c>
      <c r="W287">
        <v>0</v>
      </c>
      <c r="X287">
        <v>0</v>
      </c>
    </row>
    <row r="288" spans="20:24" x14ac:dyDescent="0.25">
      <c r="T288" s="25">
        <v>111245</v>
      </c>
      <c r="U288" s="25">
        <v>276370</v>
      </c>
      <c r="V288" s="40">
        <v>165125</v>
      </c>
      <c r="W288">
        <v>0</v>
      </c>
      <c r="X288">
        <v>0</v>
      </c>
    </row>
    <row r="289" spans="20:24" x14ac:dyDescent="0.25">
      <c r="T289" s="25">
        <v>132525</v>
      </c>
      <c r="U289" s="25">
        <v>356705</v>
      </c>
      <c r="V289" s="40">
        <v>224180</v>
      </c>
      <c r="W289">
        <v>0</v>
      </c>
      <c r="X289">
        <v>0</v>
      </c>
    </row>
    <row r="290" spans="20:24" x14ac:dyDescent="0.25">
      <c r="T290" s="25">
        <v>119087.55476545669</v>
      </c>
      <c r="U290" s="25">
        <v>303095</v>
      </c>
      <c r="V290" s="40">
        <v>184007.44523454329</v>
      </c>
      <c r="W290">
        <v>53.49815203711384</v>
      </c>
      <c r="X290">
        <v>0</v>
      </c>
    </row>
    <row r="291" spans="20:24" x14ac:dyDescent="0.25">
      <c r="T291" s="25">
        <v>109854</v>
      </c>
      <c r="U291" s="25">
        <v>276470</v>
      </c>
      <c r="V291" s="40">
        <v>166616</v>
      </c>
      <c r="W291">
        <v>0</v>
      </c>
      <c r="X291">
        <v>1</v>
      </c>
    </row>
    <row r="292" spans="20:24" x14ac:dyDescent="0.25">
      <c r="T292" s="25">
        <v>118135.44371781795</v>
      </c>
      <c r="U292" s="25">
        <v>304350</v>
      </c>
      <c r="V292" s="40">
        <v>186214.55628218205</v>
      </c>
      <c r="W292">
        <v>70.443717817946066</v>
      </c>
      <c r="X292">
        <v>0</v>
      </c>
    </row>
    <row r="293" spans="20:24" x14ac:dyDescent="0.25">
      <c r="T293" s="25">
        <v>117255</v>
      </c>
      <c r="U293" s="25">
        <v>301155</v>
      </c>
      <c r="V293" s="40">
        <v>183900</v>
      </c>
      <c r="W293">
        <v>0</v>
      </c>
      <c r="X293">
        <v>0</v>
      </c>
    </row>
    <row r="294" spans="20:24" x14ac:dyDescent="0.25">
      <c r="T294" s="25">
        <v>105366</v>
      </c>
      <c r="U294" s="25">
        <v>259760</v>
      </c>
      <c r="V294" s="40">
        <v>154394</v>
      </c>
      <c r="W294">
        <v>0</v>
      </c>
      <c r="X294">
        <v>1</v>
      </c>
    </row>
    <row r="295" spans="20:24" x14ac:dyDescent="0.25">
      <c r="T295" s="25">
        <v>108220</v>
      </c>
      <c r="U295" s="25">
        <v>269985</v>
      </c>
      <c r="V295" s="40">
        <v>161765</v>
      </c>
      <c r="W295">
        <v>0</v>
      </c>
      <c r="X295">
        <v>1</v>
      </c>
    </row>
    <row r="296" spans="20:24" x14ac:dyDescent="0.25">
      <c r="T296" s="25">
        <v>100415</v>
      </c>
      <c r="U296" s="25">
        <v>235810</v>
      </c>
      <c r="V296" s="40">
        <v>135395</v>
      </c>
      <c r="W296">
        <v>0</v>
      </c>
      <c r="X296">
        <v>1</v>
      </c>
    </row>
    <row r="297" spans="20:24" x14ac:dyDescent="0.25">
      <c r="T297" s="25">
        <v>90936</v>
      </c>
      <c r="U297" s="25">
        <v>208040</v>
      </c>
      <c r="V297" s="40">
        <v>117104</v>
      </c>
      <c r="W297">
        <v>0</v>
      </c>
      <c r="X297">
        <v>3</v>
      </c>
    </row>
    <row r="298" spans="20:24" x14ac:dyDescent="0.25">
      <c r="T298" s="25">
        <v>110415</v>
      </c>
      <c r="U298" s="25">
        <v>269270</v>
      </c>
      <c r="V298" s="40">
        <v>158855</v>
      </c>
      <c r="W298">
        <v>0</v>
      </c>
      <c r="X298">
        <v>0</v>
      </c>
    </row>
    <row r="299" spans="20:24" x14ac:dyDescent="0.25">
      <c r="T299" s="25">
        <v>110790.33231214713</v>
      </c>
      <c r="U299" s="25">
        <v>265575</v>
      </c>
      <c r="V299" s="40">
        <v>154784.66768785287</v>
      </c>
      <c r="W299">
        <v>20.332312147137518</v>
      </c>
      <c r="X299">
        <v>0</v>
      </c>
    </row>
    <row r="300" spans="20:24" x14ac:dyDescent="0.25">
      <c r="T300" s="25">
        <v>107911</v>
      </c>
      <c r="U300" s="25">
        <v>273630</v>
      </c>
      <c r="V300" s="40">
        <v>165719</v>
      </c>
      <c r="W300">
        <v>0</v>
      </c>
      <c r="X300">
        <v>1</v>
      </c>
    </row>
    <row r="301" spans="20:24" x14ac:dyDescent="0.25">
      <c r="T301" s="25">
        <v>113670</v>
      </c>
      <c r="U301" s="25">
        <v>283630</v>
      </c>
      <c r="V301" s="40">
        <v>169960</v>
      </c>
      <c r="W301">
        <v>0</v>
      </c>
      <c r="X301">
        <v>0</v>
      </c>
    </row>
    <row r="302" spans="20:24" x14ac:dyDescent="0.25">
      <c r="T302" s="25">
        <v>123945</v>
      </c>
      <c r="U302" s="25">
        <v>330200</v>
      </c>
      <c r="V302" s="40">
        <v>206255</v>
      </c>
      <c r="W302">
        <v>0</v>
      </c>
      <c r="X302">
        <v>0</v>
      </c>
    </row>
    <row r="303" spans="20:24" x14ac:dyDescent="0.25">
      <c r="T303" s="25">
        <v>117165</v>
      </c>
      <c r="U303" s="25">
        <v>290330</v>
      </c>
      <c r="V303" s="40">
        <v>173165</v>
      </c>
      <c r="W303">
        <v>0</v>
      </c>
      <c r="X303">
        <v>0</v>
      </c>
    </row>
    <row r="304" spans="20:24" x14ac:dyDescent="0.25">
      <c r="T304" s="25">
        <v>125295</v>
      </c>
      <c r="U304" s="25">
        <v>321830</v>
      </c>
      <c r="V304" s="40">
        <v>196535</v>
      </c>
      <c r="W304">
        <v>0</v>
      </c>
      <c r="X304">
        <v>0</v>
      </c>
    </row>
    <row r="305" spans="20:24" x14ac:dyDescent="0.25">
      <c r="T305" s="25">
        <v>110811.93162766338</v>
      </c>
      <c r="U305" s="25">
        <v>278350</v>
      </c>
      <c r="V305" s="40">
        <v>167538.06837233662</v>
      </c>
      <c r="W305">
        <v>166.93162766336894</v>
      </c>
      <c r="X305">
        <v>1</v>
      </c>
    </row>
    <row r="306" spans="20:24" x14ac:dyDescent="0.25">
      <c r="T306" s="25">
        <v>113295</v>
      </c>
      <c r="U306" s="25">
        <v>277475</v>
      </c>
      <c r="V306" s="40">
        <v>164180</v>
      </c>
      <c r="W306">
        <v>0</v>
      </c>
      <c r="X30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im">
                <anchor moveWithCells="1" sizeWithCells="1">
                  <from>
                    <xdr:col>16</xdr:col>
                    <xdr:colOff>180975</xdr:colOff>
                    <xdr:row>4</xdr:row>
                    <xdr:rowOff>114300</xdr:rowOff>
                  </from>
                  <to>
                    <xdr:col>17</xdr:col>
                    <xdr:colOff>485775</xdr:colOff>
                    <xdr:row>5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"/>
  <sheetViews>
    <sheetView workbookViewId="0">
      <selection activeCell="L14" sqref="L14"/>
    </sheetView>
  </sheetViews>
  <sheetFormatPr defaultRowHeight="15" x14ac:dyDescent="0.25"/>
  <cols>
    <col min="2" max="2" width="11.7109375" customWidth="1"/>
    <col min="3" max="3" width="14.140625" customWidth="1"/>
    <col min="4" max="4" width="10.7109375" customWidth="1"/>
    <col min="5" max="5" width="11.5703125" customWidth="1"/>
    <col min="9" max="9" width="11.28515625" bestFit="1" customWidth="1"/>
    <col min="10" max="10" width="11.140625" customWidth="1"/>
    <col min="11" max="11" width="12" bestFit="1" customWidth="1"/>
    <col min="12" max="12" width="10.85546875" customWidth="1"/>
  </cols>
  <sheetData>
    <row r="1" spans="1:14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4" x14ac:dyDescent="0.25">
      <c r="A2" s="26"/>
      <c r="B2" s="26"/>
      <c r="C2" s="26" t="s">
        <v>37</v>
      </c>
      <c r="D2" s="30">
        <f ca="1">RAND()</f>
        <v>0.85824600616219493</v>
      </c>
      <c r="E2" s="26"/>
      <c r="F2" s="26"/>
      <c r="G2" s="26"/>
      <c r="H2" s="26"/>
      <c r="I2" s="26"/>
      <c r="J2" s="26" t="s">
        <v>37</v>
      </c>
      <c r="K2" s="30">
        <f ca="1">RAND()</f>
        <v>0.21652819272067725</v>
      </c>
      <c r="L2" s="26"/>
      <c r="M2" s="26"/>
      <c r="N2" s="26"/>
    </row>
    <row r="3" spans="1:14" x14ac:dyDescent="0.25">
      <c r="A3" s="26"/>
      <c r="B3" s="26"/>
      <c r="C3" s="27" t="s">
        <v>38</v>
      </c>
      <c r="D3" s="30">
        <f ca="1">MATCH(D2,E7:E13,1)</f>
        <v>4</v>
      </c>
      <c r="E3" s="26"/>
      <c r="F3" s="26"/>
      <c r="G3" s="26"/>
      <c r="H3" s="26"/>
      <c r="I3" s="26"/>
      <c r="J3" s="27" t="s">
        <v>38</v>
      </c>
      <c r="K3" s="30">
        <f ca="1">MATCH(K2,L7:L13,1)</f>
        <v>3</v>
      </c>
      <c r="L3" s="26"/>
      <c r="M3" s="26"/>
      <c r="N3" s="26"/>
    </row>
    <row r="4" spans="1:14" x14ac:dyDescent="0.25">
      <c r="A4" s="26"/>
      <c r="B4" s="26"/>
      <c r="C4" s="26"/>
      <c r="D4" s="26"/>
      <c r="E4" s="26"/>
      <c r="F4" s="26"/>
      <c r="G4" s="26"/>
      <c r="H4" s="26"/>
      <c r="I4" s="26"/>
      <c r="J4" s="27" t="s">
        <v>45</v>
      </c>
      <c r="K4" s="30" cm="1">
        <f t="array" aca="1" ref="K4" ca="1">INDEX(I7:I13,K3)</f>
        <v>60</v>
      </c>
      <c r="L4" s="26"/>
      <c r="M4" s="26"/>
      <c r="N4" s="26"/>
    </row>
    <row r="5" spans="1:14" x14ac:dyDescent="0.25">
      <c r="A5" s="26"/>
      <c r="B5" s="26"/>
      <c r="C5" s="26"/>
      <c r="D5" s="26"/>
      <c r="E5" s="26"/>
      <c r="F5" s="26"/>
      <c r="G5" s="26"/>
      <c r="H5" s="26"/>
      <c r="I5" s="26"/>
      <c r="J5" s="27" t="s">
        <v>46</v>
      </c>
      <c r="K5" s="30">
        <f ca="1">K4-RANDBETWEEN(0,9)</f>
        <v>58</v>
      </c>
      <c r="L5" s="26"/>
      <c r="M5" s="26"/>
      <c r="N5" s="26"/>
    </row>
    <row r="6" spans="1:14" ht="46.5" customHeight="1" x14ac:dyDescent="0.25">
      <c r="A6" s="26"/>
      <c r="B6" s="28" t="s">
        <v>39</v>
      </c>
      <c r="C6" s="28" t="s">
        <v>40</v>
      </c>
      <c r="D6" s="29" t="s">
        <v>41</v>
      </c>
      <c r="E6" s="29" t="s">
        <v>42</v>
      </c>
      <c r="F6" s="26"/>
      <c r="G6" s="26"/>
      <c r="H6" s="26" t="s">
        <v>47</v>
      </c>
      <c r="I6" s="28" t="s">
        <v>44</v>
      </c>
      <c r="J6" s="28" t="s">
        <v>40</v>
      </c>
      <c r="K6" s="29" t="s">
        <v>41</v>
      </c>
      <c r="L6" s="29" t="s">
        <v>42</v>
      </c>
      <c r="M6" s="26"/>
      <c r="N6" s="26"/>
    </row>
    <row r="7" spans="1:14" x14ac:dyDescent="0.25">
      <c r="B7">
        <v>1</v>
      </c>
      <c r="C7">
        <v>12</v>
      </c>
      <c r="D7">
        <v>0.12</v>
      </c>
      <c r="E7">
        <v>0</v>
      </c>
      <c r="H7" t="str">
        <f>"&lt;=" &amp;I7</f>
        <v>&lt;=40</v>
      </c>
      <c r="I7">
        <v>40</v>
      </c>
      <c r="J7">
        <v>5</v>
      </c>
      <c r="K7">
        <v>0.05</v>
      </c>
      <c r="L7">
        <v>0</v>
      </c>
      <c r="M7">
        <f t="array" ref="M7:M13">FREQUENCY(J7:J13,I7:I13)</f>
        <v>7</v>
      </c>
    </row>
    <row r="8" spans="1:14" x14ac:dyDescent="0.25">
      <c r="B8">
        <v>2</v>
      </c>
      <c r="C8">
        <v>50</v>
      </c>
      <c r="D8">
        <v>0.5</v>
      </c>
      <c r="E8">
        <f>D7</f>
        <v>0.12</v>
      </c>
      <c r="H8" t="str">
        <f>I7&amp; "-" &amp;I8</f>
        <v>40-50</v>
      </c>
      <c r="I8">
        <v>50</v>
      </c>
      <c r="J8">
        <v>10</v>
      </c>
      <c r="K8">
        <v>0.1</v>
      </c>
      <c r="L8">
        <f>K7</f>
        <v>0.05</v>
      </c>
      <c r="M8">
        <v>0</v>
      </c>
    </row>
    <row r="9" spans="1:14" x14ac:dyDescent="0.25">
      <c r="B9">
        <v>3</v>
      </c>
      <c r="C9">
        <v>15</v>
      </c>
      <c r="D9">
        <v>0.15</v>
      </c>
      <c r="E9">
        <f>E8+D8</f>
        <v>0.62</v>
      </c>
      <c r="H9" t="str">
        <f t="shared" ref="H9:H13" si="0">I8&amp; "-" &amp;I9</f>
        <v>50-60</v>
      </c>
      <c r="I9">
        <v>60</v>
      </c>
      <c r="J9">
        <v>25</v>
      </c>
      <c r="K9">
        <v>0.25</v>
      </c>
      <c r="L9">
        <f>L8+K8</f>
        <v>0.15000000000000002</v>
      </c>
      <c r="M9">
        <v>0</v>
      </c>
    </row>
    <row r="10" spans="1:14" x14ac:dyDescent="0.25">
      <c r="B10">
        <v>4</v>
      </c>
      <c r="C10">
        <v>10</v>
      </c>
      <c r="D10">
        <v>0.1</v>
      </c>
      <c r="E10">
        <f t="shared" ref="E10:E13" si="1">E9+D9</f>
        <v>0.77</v>
      </c>
      <c r="H10" t="str">
        <f t="shared" si="0"/>
        <v>60-70</v>
      </c>
      <c r="I10">
        <v>70</v>
      </c>
      <c r="J10">
        <v>40</v>
      </c>
      <c r="K10">
        <v>0.4</v>
      </c>
      <c r="L10">
        <f t="shared" ref="L10:L13" si="2">L9+K9</f>
        <v>0.4</v>
      </c>
      <c r="M10">
        <v>0</v>
      </c>
    </row>
    <row r="11" spans="1:14" x14ac:dyDescent="0.25">
      <c r="B11">
        <v>5</v>
      </c>
      <c r="C11">
        <v>7</v>
      </c>
      <c r="D11">
        <v>7.0000000000000007E-2</v>
      </c>
      <c r="E11">
        <f t="shared" si="1"/>
        <v>0.87</v>
      </c>
      <c r="H11" t="str">
        <f t="shared" si="0"/>
        <v>70-80</v>
      </c>
      <c r="I11">
        <v>80</v>
      </c>
      <c r="J11">
        <v>8</v>
      </c>
      <c r="K11">
        <v>0.08</v>
      </c>
      <c r="L11">
        <f t="shared" si="2"/>
        <v>0.8</v>
      </c>
      <c r="M11">
        <v>0</v>
      </c>
    </row>
    <row r="12" spans="1:14" x14ac:dyDescent="0.25">
      <c r="B12">
        <v>6</v>
      </c>
      <c r="C12">
        <v>5</v>
      </c>
      <c r="D12">
        <v>0.05</v>
      </c>
      <c r="E12">
        <f t="shared" si="1"/>
        <v>0.94</v>
      </c>
      <c r="H12" t="str">
        <f t="shared" si="0"/>
        <v>80-90</v>
      </c>
      <c r="I12">
        <v>90</v>
      </c>
      <c r="J12">
        <v>10</v>
      </c>
      <c r="K12">
        <v>0.1</v>
      </c>
      <c r="L12">
        <f t="shared" si="2"/>
        <v>0.88</v>
      </c>
      <c r="M12">
        <v>0</v>
      </c>
    </row>
    <row r="13" spans="1:14" x14ac:dyDescent="0.25">
      <c r="B13">
        <v>7</v>
      </c>
      <c r="C13">
        <v>1</v>
      </c>
      <c r="D13">
        <v>0.01</v>
      </c>
      <c r="E13">
        <f t="shared" si="1"/>
        <v>0.99</v>
      </c>
      <c r="H13" t="str">
        <f t="shared" si="0"/>
        <v>90-100</v>
      </c>
      <c r="I13">
        <v>100</v>
      </c>
      <c r="J13">
        <v>2</v>
      </c>
      <c r="K13">
        <v>0.02</v>
      </c>
      <c r="L13">
        <f t="shared" si="2"/>
        <v>0.98</v>
      </c>
      <c r="M13">
        <v>0</v>
      </c>
    </row>
    <row r="14" spans="1:14" x14ac:dyDescent="0.25">
      <c r="B14" t="s">
        <v>43</v>
      </c>
      <c r="C14">
        <f>SUM(C7:C13)</f>
        <v>100</v>
      </c>
      <c r="I14" t="s">
        <v>43</v>
      </c>
      <c r="J14">
        <f>SUM(J7:J13)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Model</vt:lpstr>
      <vt:lpstr>Sheet2</vt:lpstr>
      <vt:lpstr>Sheet3</vt:lpstr>
      <vt:lpstr>reps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saurabh giram</cp:lastModifiedBy>
  <dcterms:created xsi:type="dcterms:W3CDTF">2012-10-26T12:12:57Z</dcterms:created>
  <dcterms:modified xsi:type="dcterms:W3CDTF">2022-01-09T16:42:48Z</dcterms:modified>
</cp:coreProperties>
</file>