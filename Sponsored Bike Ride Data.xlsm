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lancsac-my.sharepoint.com/personal/giram_lancaster_ac_uk/Documents/Lancaster/BA/MSCI502 Operational Research and Prescriptive Analytics/Week 5/"/>
    </mc:Choice>
  </mc:AlternateContent>
  <xr:revisionPtr revIDLastSave="11" documentId="8_{BD98B6CE-0875-4274-91FD-72F20D3DEC44}" xr6:coauthVersionLast="47" xr6:coauthVersionMax="47" xr10:uidLastSave="{313C9E7A-04F5-4B85-A491-C4BD003B74B8}"/>
  <bookViews>
    <workbookView xWindow="-120" yWindow="-120" windowWidth="20730" windowHeight="11760" xr2:uid="{00000000-000D-0000-FFFF-FFFF00000000}"/>
  </bookViews>
  <sheets>
    <sheet name="Data" sheetId="4" r:id="rId1"/>
    <sheet name="Sheet1" sheetId="3" r:id="rId2"/>
    <sheet name="Sheet2" sheetId="1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7" i="3" l="1"/>
  <c r="AP16" i="3"/>
  <c r="F4" i="4"/>
  <c r="E4" i="4"/>
  <c r="D4" i="4"/>
  <c r="G3" i="4"/>
  <c r="F3" i="4"/>
  <c r="AP15" i="3" l="1"/>
  <c r="AP14" i="3"/>
  <c r="AP13" i="3"/>
  <c r="AP12" i="3"/>
  <c r="AG6" i="3"/>
  <c r="AG7" i="3"/>
  <c r="AE6" i="3"/>
  <c r="AE7" i="3"/>
  <c r="AL24" i="3" s="1"/>
  <c r="AF7" i="3"/>
  <c r="AL23" i="3" s="1"/>
  <c r="AF6" i="3"/>
  <c r="AL17" i="3"/>
  <c r="AL16" i="3"/>
  <c r="AL15" i="3"/>
  <c r="AL14" i="3"/>
  <c r="AL13" i="3"/>
  <c r="AL12" i="3"/>
  <c r="AF4" i="3" l="1"/>
  <c r="AE4" i="3"/>
  <c r="AD4" i="3"/>
  <c r="AG3" i="3"/>
  <c r="AF3" i="3"/>
  <c r="AK3" i="3" l="1"/>
</calcChain>
</file>

<file path=xl/sharedStrings.xml><?xml version="1.0" encoding="utf-8"?>
<sst xmlns="http://schemas.openxmlformats.org/spreadsheetml/2006/main" count="156" uniqueCount="53">
  <si>
    <t>Totals:</t>
  </si>
  <si>
    <t>Grand Total:</t>
  </si>
  <si>
    <t>Averages:</t>
  </si>
  <si>
    <t>Name</t>
  </si>
  <si>
    <t>Sex</t>
  </si>
  <si>
    <t>Age</t>
  </si>
  <si>
    <t>Distance Cycled</t>
  </si>
  <si>
    <t>Money Raised</t>
  </si>
  <si>
    <t>Additional Contributions</t>
  </si>
  <si>
    <t>Charity Code</t>
  </si>
  <si>
    <t>Select a cyclist:</t>
  </si>
  <si>
    <t>Adam</t>
  </si>
  <si>
    <t>M</t>
  </si>
  <si>
    <t>Giles</t>
  </si>
  <si>
    <t>Penny</t>
  </si>
  <si>
    <t>F</t>
  </si>
  <si>
    <t>Christine</t>
  </si>
  <si>
    <t>Anthony</t>
  </si>
  <si>
    <t>Fred</t>
  </si>
  <si>
    <t>Jonty</t>
  </si>
  <si>
    <t>Annie</t>
  </si>
  <si>
    <t>Linda</t>
  </si>
  <si>
    <t>Becky</t>
  </si>
  <si>
    <t>Crossy</t>
  </si>
  <si>
    <t>Bernie</t>
  </si>
  <si>
    <t>George</t>
  </si>
  <si>
    <t>Debbie</t>
  </si>
  <si>
    <t>Mick</t>
  </si>
  <si>
    <t>Caroline</t>
  </si>
  <si>
    <t>Isobel</t>
  </si>
  <si>
    <t>Sub-totals:</t>
  </si>
  <si>
    <t>Male:</t>
  </si>
  <si>
    <t>Female:</t>
  </si>
  <si>
    <t>Select a Charity:</t>
  </si>
  <si>
    <t>codes</t>
  </si>
  <si>
    <t>Save The Children</t>
  </si>
  <si>
    <t>Cancer Relief</t>
  </si>
  <si>
    <t>sex:</t>
  </si>
  <si>
    <t>Amount raised:</t>
  </si>
  <si>
    <t>Age Concern</t>
  </si>
  <si>
    <t>age:</t>
  </si>
  <si>
    <t>Distance cycled:</t>
  </si>
  <si>
    <t>Mencap</t>
  </si>
  <si>
    <t>distance cycled:</t>
  </si>
  <si>
    <t>Average age:</t>
  </si>
  <si>
    <t>RNIB</t>
  </si>
  <si>
    <t>money raised:</t>
  </si>
  <si>
    <t>Average distance:</t>
  </si>
  <si>
    <t>additional contrib:</t>
  </si>
  <si>
    <t>number of riders:</t>
  </si>
  <si>
    <t>charity code:</t>
  </si>
  <si>
    <t>males / females:</t>
  </si>
  <si>
    <t>Select a sex: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</si>
</sst>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0"/>
      <name val="Arial"/>
    </font>
    <font>
      <b/>
      <sz val="10"/>
      <name val="Arial"/>
      <family val="2"/>
    </font>
    <font>
      <b/>
      <sz val="10"/>
      <color indexed="17"/>
      <name val="Arial"/>
      <family val="2"/>
    </font>
    <font>
      <b/>
      <sz val="10"/>
      <color theme="2" tint="-9.9978637043366805E-2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0" tint="-0.49998474074526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2" fontId="0" fillId="0" borderId="1" xfId="0" applyNumberFormat="1" applyBorder="1"/>
    <xf numFmtId="2" fontId="0" fillId="0" borderId="6" xfId="0" applyNumberFormat="1" applyBorder="1"/>
    <xf numFmtId="2" fontId="0" fillId="0" borderId="5" xfId="0" applyNumberFormat="1" applyBorder="1"/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2" borderId="0" xfId="0" applyFill="1"/>
    <xf numFmtId="0" fontId="2" fillId="2" borderId="0" xfId="0" applyFont="1" applyFill="1" applyAlignment="1">
      <alignment horizontal="right"/>
    </xf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3" fillId="2" borderId="1" xfId="0" applyFont="1" applyFill="1" applyBorder="1"/>
    <xf numFmtId="0" fontId="5" fillId="2" borderId="1" xfId="0" applyFont="1" applyFill="1" applyBorder="1"/>
    <xf numFmtId="0" fontId="4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1" fillId="2" borderId="0" xfId="0" applyFont="1" applyFill="1"/>
    <xf numFmtId="0" fontId="6" fillId="2" borderId="0" xfId="0" applyFont="1" applyFill="1"/>
    <xf numFmtId="0" fontId="0" fillId="0" borderId="7" xfId="0" applyBorder="1" applyAlignment="1">
      <alignment horizontal="right"/>
    </xf>
    <xf numFmtId="0" fontId="6" fillId="2" borderId="13" xfId="0" applyFont="1" applyFill="1" applyBorder="1"/>
  </cellXfs>
  <cellStyles count="1">
    <cellStyle name="Normal" xfId="0" builtinId="0"/>
  </cellStyles>
  <dxfs count="2">
    <dxf>
      <font>
        <color theme="0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2" fmlaLink="$AL$10" fmlaRange="$AB$10:$AB$26" noThreeD="1" sel="4" val="0"/>
</file>

<file path=xl/ctrlProps/ctrlProp8.xml><?xml version="1.0" encoding="utf-8"?>
<formControlPr xmlns="http://schemas.microsoft.com/office/spreadsheetml/2009/9/main" objectType="CheckBox" checked="Checked" fmlaLink="$AL$5" lockText="1" noThreeD="1"/>
</file>

<file path=xl/ctrlProps/ctrlProp9.xml><?xml version="1.0" encoding="utf-8"?>
<formControlPr xmlns="http://schemas.microsoft.com/office/spreadsheetml/2009/9/main" objectType="Radio" firstButton="1" fmlaLink="$AL$19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CheckBox" fmlaLink="$AL$6" lockText="1" noThreeD="1"/>
</file>

<file path=xl/ctrlProps/ctrlProp12.xml><?xml version="1.0" encoding="utf-8"?>
<formControlPr xmlns="http://schemas.microsoft.com/office/spreadsheetml/2009/9/main" objectType="CheckBox" checked="Checked" fmlaLink="$AL$7" lockText="1" noThreeD="1"/>
</file>

<file path=xl/ctrlProps/ctrlProp13.xml><?xml version="1.0" encoding="utf-8"?>
<formControlPr xmlns="http://schemas.microsoft.com/office/spreadsheetml/2009/9/main" objectType="Drop" dropStyle="combo" dx="22" fmlaLink="$AP$10" fmlaRange="$AT$10:$AT$14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11</xdr:row>
          <xdr:rowOff>123825</xdr:rowOff>
        </xdr:from>
        <xdr:to>
          <xdr:col>11</xdr:col>
          <xdr:colOff>581025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15</xdr:row>
          <xdr:rowOff>9525</xdr:rowOff>
        </xdr:from>
        <xdr:to>
          <xdr:col>11</xdr:col>
          <xdr:colOff>561975</xdr:colOff>
          <xdr:row>16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GotoSheet2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18</xdr:row>
          <xdr:rowOff>19050</xdr:rowOff>
        </xdr:from>
        <xdr:to>
          <xdr:col>11</xdr:col>
          <xdr:colOff>504825</xdr:colOff>
          <xdr:row>20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Goto A1 datasheet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21</xdr:row>
          <xdr:rowOff>0</xdr:rowOff>
        </xdr:from>
        <xdr:to>
          <xdr:col>11</xdr:col>
          <xdr:colOff>419100</xdr:colOff>
          <xdr:row>22</xdr:row>
          <xdr:rowOff>85725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K3_datasheet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23</xdr:row>
          <xdr:rowOff>104775</xdr:rowOff>
        </xdr:from>
        <xdr:to>
          <xdr:col>11</xdr:col>
          <xdr:colOff>552450</xdr:colOff>
          <xdr:row>25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K3NoFarmalue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26</xdr:row>
          <xdr:rowOff>142875</xdr:rowOff>
        </xdr:from>
        <xdr:to>
          <xdr:col>12</xdr:col>
          <xdr:colOff>19050</xdr:colOff>
          <xdr:row>28</xdr:row>
          <xdr:rowOff>76200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9</xdr:row>
          <xdr:rowOff>0</xdr:rowOff>
        </xdr:from>
        <xdr:to>
          <xdr:col>37</xdr:col>
          <xdr:colOff>0</xdr:colOff>
          <xdr:row>10</xdr:row>
          <xdr:rowOff>76200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561975</xdr:colOff>
          <xdr:row>0</xdr:row>
          <xdr:rowOff>47625</xdr:rowOff>
        </xdr:from>
        <xdr:to>
          <xdr:col>39</xdr:col>
          <xdr:colOff>238125</xdr:colOff>
          <xdr:row>1</xdr:row>
          <xdr:rowOff>152400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Additional Contributions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95250</xdr:colOff>
          <xdr:row>19</xdr:row>
          <xdr:rowOff>19050</xdr:rowOff>
        </xdr:from>
        <xdr:to>
          <xdr:col>36</xdr:col>
          <xdr:colOff>457200</xdr:colOff>
          <xdr:row>20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95250</xdr:colOff>
          <xdr:row>20</xdr:row>
          <xdr:rowOff>57150</xdr:rowOff>
        </xdr:from>
        <xdr:to>
          <xdr:col>36</xdr:col>
          <xdr:colOff>457200</xdr:colOff>
          <xdr:row>21</xdr:row>
          <xdr:rowOff>114300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457200</xdr:colOff>
          <xdr:row>4</xdr:row>
          <xdr:rowOff>104775</xdr:rowOff>
        </xdr:from>
        <xdr:to>
          <xdr:col>37</xdr:col>
          <xdr:colOff>85725</xdr:colOff>
          <xdr:row>6</xdr:row>
          <xdr:rowOff>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the riders' ages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457200</xdr:colOff>
          <xdr:row>5</xdr:row>
          <xdr:rowOff>152400</xdr:rowOff>
        </xdr:from>
        <xdr:to>
          <xdr:col>37</xdr:col>
          <xdr:colOff>85725</xdr:colOff>
          <xdr:row>7</xdr:row>
          <xdr:rowOff>47625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the money raised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41</xdr:col>
          <xdr:colOff>0</xdr:colOff>
          <xdr:row>10</xdr:row>
          <xdr:rowOff>76200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2C22-6AEF-4D2A-B751-77F4ACAB4569}">
  <sheetPr codeName="Sheet2"/>
  <dimension ref="A1:N26"/>
  <sheetViews>
    <sheetView tabSelected="1" topLeftCell="A7" workbookViewId="0">
      <selection activeCell="K3" sqref="K3"/>
    </sheetView>
  </sheetViews>
  <sheetFormatPr defaultRowHeight="12.75"/>
  <cols>
    <col min="7" max="7" width="13.42578125" customWidth="1"/>
  </cols>
  <sheetData>
    <row r="1" spans="1:14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</row>
    <row r="3" spans="1:14">
      <c r="A3" s="17"/>
      <c r="B3" s="17"/>
      <c r="C3" s="18" t="s">
        <v>0</v>
      </c>
      <c r="D3" s="1"/>
      <c r="E3" s="2"/>
      <c r="F3" s="2">
        <f>SUM(F10:F26)</f>
        <v>2394</v>
      </c>
      <c r="G3" s="3">
        <f>SUM(G10:G26)</f>
        <v>122</v>
      </c>
      <c r="H3" s="17"/>
      <c r="I3" s="17"/>
      <c r="J3" s="18" t="s">
        <v>1</v>
      </c>
      <c r="K3" s="7">
        <v>2516</v>
      </c>
      <c r="L3" s="17"/>
      <c r="M3" s="17"/>
      <c r="N3" s="17"/>
    </row>
    <row r="4" spans="1:14">
      <c r="A4" s="17"/>
      <c r="B4" s="17"/>
      <c r="C4" s="18" t="s">
        <v>2</v>
      </c>
      <c r="D4" s="6">
        <f>AVERAGE(D10:D26)</f>
        <v>35.117647058823529</v>
      </c>
      <c r="E4" s="4">
        <f>AVERAGE(E10:E26)</f>
        <v>48</v>
      </c>
      <c r="F4" s="4">
        <f>AVERAGE(F10:F26)</f>
        <v>140.8235294117647</v>
      </c>
      <c r="G4" s="5"/>
      <c r="H4" s="17"/>
      <c r="I4" s="17"/>
      <c r="J4" s="17"/>
      <c r="K4" s="17"/>
      <c r="L4" s="17"/>
      <c r="M4" s="17"/>
      <c r="N4" s="17"/>
    </row>
    <row r="5" spans="1:14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</row>
    <row r="6" spans="1:14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</row>
    <row r="7" spans="1:14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</row>
    <row r="8" spans="1:14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</row>
    <row r="9" spans="1:14" ht="25.5">
      <c r="A9" s="19"/>
      <c r="B9" s="20" t="s">
        <v>3</v>
      </c>
      <c r="C9" s="20" t="s">
        <v>4</v>
      </c>
      <c r="D9" s="20" t="s">
        <v>5</v>
      </c>
      <c r="E9" s="20" t="s">
        <v>6</v>
      </c>
      <c r="F9" s="20" t="s">
        <v>7</v>
      </c>
      <c r="G9" s="20" t="s">
        <v>8</v>
      </c>
      <c r="H9" s="20" t="s">
        <v>9</v>
      </c>
      <c r="I9" s="21"/>
      <c r="J9" s="22" t="s">
        <v>10</v>
      </c>
      <c r="K9" s="19"/>
      <c r="L9" s="19"/>
      <c r="M9" s="19"/>
      <c r="N9" s="19"/>
    </row>
    <row r="10" spans="1:14">
      <c r="B10" s="1" t="s">
        <v>11</v>
      </c>
      <c r="C10" s="2" t="s">
        <v>12</v>
      </c>
      <c r="D10" s="2">
        <v>32</v>
      </c>
      <c r="E10" s="2">
        <v>90</v>
      </c>
      <c r="F10" s="2">
        <v>257</v>
      </c>
      <c r="G10" s="2"/>
      <c r="H10" s="3">
        <v>1</v>
      </c>
    </row>
    <row r="11" spans="1:14">
      <c r="B11" s="12" t="s">
        <v>13</v>
      </c>
      <c r="C11" t="s">
        <v>12</v>
      </c>
      <c r="D11">
        <v>35</v>
      </c>
      <c r="E11">
        <v>35</v>
      </c>
      <c r="F11">
        <v>145</v>
      </c>
      <c r="H11" s="13">
        <v>1</v>
      </c>
    </row>
    <row r="12" spans="1:14">
      <c r="B12" s="12" t="s">
        <v>14</v>
      </c>
      <c r="C12" t="s">
        <v>15</v>
      </c>
      <c r="D12">
        <v>38</v>
      </c>
      <c r="E12">
        <v>56</v>
      </c>
      <c r="F12">
        <v>166</v>
      </c>
      <c r="H12" s="13">
        <v>1</v>
      </c>
    </row>
    <row r="13" spans="1:14">
      <c r="B13" s="12" t="s">
        <v>16</v>
      </c>
      <c r="C13" t="s">
        <v>15</v>
      </c>
      <c r="D13">
        <v>55</v>
      </c>
      <c r="E13">
        <v>66</v>
      </c>
      <c r="F13">
        <v>380</v>
      </c>
      <c r="H13" s="13">
        <v>2</v>
      </c>
    </row>
    <row r="14" spans="1:14">
      <c r="B14" s="12" t="s">
        <v>17</v>
      </c>
      <c r="C14" t="s">
        <v>12</v>
      </c>
      <c r="D14">
        <v>57</v>
      </c>
      <c r="E14">
        <v>34</v>
      </c>
      <c r="F14">
        <v>77</v>
      </c>
      <c r="G14">
        <v>25</v>
      </c>
      <c r="H14" s="13">
        <v>4</v>
      </c>
    </row>
    <row r="15" spans="1:14">
      <c r="B15" s="12" t="s">
        <v>18</v>
      </c>
      <c r="C15" t="s">
        <v>12</v>
      </c>
      <c r="D15">
        <v>27</v>
      </c>
      <c r="E15">
        <v>78</v>
      </c>
      <c r="F15">
        <v>122</v>
      </c>
      <c r="H15" s="13">
        <v>2</v>
      </c>
    </row>
    <row r="16" spans="1:14">
      <c r="B16" s="12" t="s">
        <v>19</v>
      </c>
      <c r="C16" t="s">
        <v>12</v>
      </c>
      <c r="D16">
        <v>28</v>
      </c>
      <c r="E16">
        <v>32</v>
      </c>
      <c r="F16">
        <v>45</v>
      </c>
      <c r="G16">
        <v>30</v>
      </c>
      <c r="H16" s="13">
        <v>3</v>
      </c>
    </row>
    <row r="17" spans="2:8">
      <c r="B17" s="12" t="s">
        <v>20</v>
      </c>
      <c r="C17" t="s">
        <v>15</v>
      </c>
      <c r="D17">
        <v>26</v>
      </c>
      <c r="E17">
        <v>20</v>
      </c>
      <c r="F17">
        <v>370</v>
      </c>
      <c r="H17" s="13">
        <v>2</v>
      </c>
    </row>
    <row r="18" spans="2:8">
      <c r="B18" s="12" t="s">
        <v>21</v>
      </c>
      <c r="C18" t="s">
        <v>15</v>
      </c>
      <c r="D18">
        <v>28</v>
      </c>
      <c r="E18">
        <v>70</v>
      </c>
      <c r="F18">
        <v>120</v>
      </c>
      <c r="H18" s="13">
        <v>5</v>
      </c>
    </row>
    <row r="19" spans="2:8">
      <c r="B19" s="12" t="s">
        <v>22</v>
      </c>
      <c r="C19" t="s">
        <v>15</v>
      </c>
      <c r="D19">
        <v>27</v>
      </c>
      <c r="E19">
        <v>12</v>
      </c>
      <c r="F19">
        <v>100</v>
      </c>
      <c r="G19">
        <v>35</v>
      </c>
      <c r="H19" s="13">
        <v>1</v>
      </c>
    </row>
    <row r="20" spans="2:8">
      <c r="B20" s="12" t="s">
        <v>23</v>
      </c>
      <c r="C20" t="s">
        <v>12</v>
      </c>
      <c r="D20">
        <v>30</v>
      </c>
      <c r="E20">
        <v>34</v>
      </c>
      <c r="F20">
        <v>80</v>
      </c>
      <c r="H20" s="13">
        <v>2</v>
      </c>
    </row>
    <row r="21" spans="2:8">
      <c r="B21" s="12" t="s">
        <v>24</v>
      </c>
      <c r="C21" t="s">
        <v>12</v>
      </c>
      <c r="D21">
        <v>43</v>
      </c>
      <c r="E21">
        <v>25</v>
      </c>
      <c r="F21">
        <v>45</v>
      </c>
      <c r="H21" s="13">
        <v>2</v>
      </c>
    </row>
    <row r="22" spans="2:8">
      <c r="B22" s="12" t="s">
        <v>25</v>
      </c>
      <c r="C22" t="s">
        <v>12</v>
      </c>
      <c r="D22">
        <v>54</v>
      </c>
      <c r="E22">
        <v>140</v>
      </c>
      <c r="F22">
        <v>160</v>
      </c>
      <c r="G22">
        <v>22</v>
      </c>
      <c r="H22" s="13">
        <v>5</v>
      </c>
    </row>
    <row r="23" spans="2:8">
      <c r="B23" s="12" t="s">
        <v>26</v>
      </c>
      <c r="C23" t="s">
        <v>15</v>
      </c>
      <c r="D23">
        <v>28</v>
      </c>
      <c r="E23">
        <v>10</v>
      </c>
      <c r="F23">
        <v>105</v>
      </c>
      <c r="H23" s="13">
        <v>4</v>
      </c>
    </row>
    <row r="24" spans="2:8">
      <c r="B24" s="12" t="s">
        <v>27</v>
      </c>
      <c r="C24" t="s">
        <v>12</v>
      </c>
      <c r="D24">
        <v>36</v>
      </c>
      <c r="E24">
        <v>35</v>
      </c>
      <c r="F24">
        <v>102</v>
      </c>
      <c r="G24">
        <v>10</v>
      </c>
      <c r="H24" s="13">
        <v>4</v>
      </c>
    </row>
    <row r="25" spans="2:8">
      <c r="B25" s="12" t="s">
        <v>28</v>
      </c>
      <c r="C25" t="s">
        <v>15</v>
      </c>
      <c r="D25">
        <v>27</v>
      </c>
      <c r="E25">
        <v>35</v>
      </c>
      <c r="F25">
        <v>55</v>
      </c>
      <c r="H25" s="13">
        <v>4</v>
      </c>
    </row>
    <row r="26" spans="2:8">
      <c r="B26" s="14" t="s">
        <v>29</v>
      </c>
      <c r="C26" s="15" t="s">
        <v>15</v>
      </c>
      <c r="D26" s="15">
        <v>26</v>
      </c>
      <c r="E26" s="15">
        <v>44</v>
      </c>
      <c r="F26" s="15">
        <v>65</v>
      </c>
      <c r="G26" s="15"/>
      <c r="H26" s="16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266700</xdr:colOff>
                    <xdr:row>11</xdr:row>
                    <xdr:rowOff>123825</xdr:rowOff>
                  </from>
                  <to>
                    <xdr:col>11</xdr:col>
                    <xdr:colOff>581025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oto_sheet2">
                <anchor moveWithCells="1" sizeWithCells="1">
                  <from>
                    <xdr:col>10</xdr:col>
                    <xdr:colOff>304800</xdr:colOff>
                    <xdr:row>15</xdr:row>
                    <xdr:rowOff>9525</xdr:rowOff>
                  </from>
                  <to>
                    <xdr:col>11</xdr:col>
                    <xdr:colOff>561975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Goto_A1_Datasheet">
                <anchor moveWithCells="1" sizeWithCells="1">
                  <from>
                    <xdr:col>10</xdr:col>
                    <xdr:colOff>457200</xdr:colOff>
                    <xdr:row>18</xdr:row>
                    <xdr:rowOff>19050</xdr:rowOff>
                  </from>
                  <to>
                    <xdr:col>11</xdr:col>
                    <xdr:colOff>504825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K3_datasheet">
                <anchor moveWithCells="1" sizeWithCells="1">
                  <from>
                    <xdr:col>10</xdr:col>
                    <xdr:colOff>419100</xdr:colOff>
                    <xdr:row>21</xdr:row>
                    <xdr:rowOff>0</xdr:rowOff>
                  </from>
                  <to>
                    <xdr:col>11</xdr:col>
                    <xdr:colOff>419100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MakeNoFarmulae">
                <anchor moveWithCells="1" sizeWithCells="1">
                  <from>
                    <xdr:col>10</xdr:col>
                    <xdr:colOff>447675</xdr:colOff>
                    <xdr:row>23</xdr:row>
                    <xdr:rowOff>104775</xdr:rowOff>
                  </from>
                  <to>
                    <xdr:col>11</xdr:col>
                    <xdr:colOff>552450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NewSheet">
                <anchor moveWithCells="1" sizeWithCells="1">
                  <from>
                    <xdr:col>10</xdr:col>
                    <xdr:colOff>457200</xdr:colOff>
                    <xdr:row>26</xdr:row>
                    <xdr:rowOff>142875</xdr:rowOff>
                  </from>
                  <to>
                    <xdr:col>12</xdr:col>
                    <xdr:colOff>19050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A1:AT27"/>
  <sheetViews>
    <sheetView workbookViewId="0"/>
  </sheetViews>
  <sheetFormatPr defaultRowHeight="12.75"/>
  <cols>
    <col min="1" max="26" width="10.5703125" customWidth="1"/>
    <col min="27" max="27" width="4.140625" customWidth="1"/>
    <col min="29" max="29" width="5.28515625" customWidth="1"/>
    <col min="30" max="30" width="5.5703125" customWidth="1"/>
    <col min="31" max="31" width="8.5703125" customWidth="1"/>
    <col min="32" max="32" width="7.42578125" customWidth="1"/>
    <col min="33" max="33" width="13.42578125" customWidth="1"/>
    <col min="34" max="34" width="7.42578125" customWidth="1"/>
    <col min="35" max="35" width="5" customWidth="1"/>
    <col min="39" max="39" width="3.42578125" customWidth="1"/>
  </cols>
  <sheetData>
    <row r="1" spans="27:46"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</row>
    <row r="2" spans="27:46"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</row>
    <row r="3" spans="27:46">
      <c r="AA3" s="17"/>
      <c r="AB3" s="17"/>
      <c r="AC3" s="18" t="s">
        <v>0</v>
      </c>
      <c r="AD3" s="1"/>
      <c r="AE3" s="2"/>
      <c r="AF3" s="2">
        <f>SUM(AF10:AF26)</f>
        <v>2394</v>
      </c>
      <c r="AG3" s="3">
        <f>SUM(AG10:AG26)</f>
        <v>122</v>
      </c>
      <c r="AH3" s="17"/>
      <c r="AI3" s="17"/>
      <c r="AJ3" s="18" t="s">
        <v>1</v>
      </c>
      <c r="AK3" s="7">
        <f>IF(AL5,AF3+AG3,AF3)</f>
        <v>2516</v>
      </c>
      <c r="AL3" s="17"/>
      <c r="AM3" s="17"/>
      <c r="AN3" s="17"/>
      <c r="AO3" s="17"/>
      <c r="AP3" s="17"/>
      <c r="AQ3" s="17"/>
      <c r="AR3" s="17"/>
      <c r="AS3" s="17"/>
      <c r="AT3" s="17"/>
    </row>
    <row r="4" spans="27:46">
      <c r="AA4" s="17"/>
      <c r="AB4" s="17"/>
      <c r="AC4" s="18" t="s">
        <v>2</v>
      </c>
      <c r="AD4" s="6">
        <f>AVERAGE(AD10:AD26)</f>
        <v>35.117647058823529</v>
      </c>
      <c r="AE4" s="4">
        <f>AVERAGE(AE10:AE26)</f>
        <v>48</v>
      </c>
      <c r="AF4" s="4">
        <f>AVERAGE(AF10:AF26)</f>
        <v>140.8235294117647</v>
      </c>
      <c r="AG4" s="5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</row>
    <row r="5" spans="27:46"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27" t="b">
        <v>1</v>
      </c>
      <c r="AM5" s="17"/>
      <c r="AN5" s="17"/>
      <c r="AO5" s="17"/>
      <c r="AP5" s="17"/>
      <c r="AQ5" s="17"/>
      <c r="AR5" s="17"/>
      <c r="AS5" s="17"/>
      <c r="AT5" s="17"/>
    </row>
    <row r="6" spans="27:46">
      <c r="AA6" s="17"/>
      <c r="AB6" s="17"/>
      <c r="AC6" s="18" t="s">
        <v>30</v>
      </c>
      <c r="AD6" s="18" t="s">
        <v>31</v>
      </c>
      <c r="AE6" s="11">
        <f>SUMIF($AC$10:$AC$26,"M",AE10:AE26)</f>
        <v>503</v>
      </c>
      <c r="AF6" s="11">
        <f>SUMIF($AC$10:$AC$26,"M",AF10:AF26)</f>
        <v>1033</v>
      </c>
      <c r="AG6" s="11">
        <f>SUMIF($AC$10:$AC$26,"M",AG10:AG26)</f>
        <v>87</v>
      </c>
      <c r="AH6" s="17"/>
      <c r="AI6" s="17"/>
      <c r="AJ6" s="17"/>
      <c r="AK6" s="17"/>
      <c r="AL6" s="27" t="b">
        <v>0</v>
      </c>
      <c r="AM6" s="17"/>
      <c r="AN6" s="17"/>
      <c r="AO6" s="17"/>
      <c r="AP6" s="17"/>
      <c r="AQ6" s="17"/>
      <c r="AR6" s="17"/>
      <c r="AS6" s="17"/>
      <c r="AT6" s="17"/>
    </row>
    <row r="7" spans="27:46">
      <c r="AA7" s="17"/>
      <c r="AB7" s="17"/>
      <c r="AC7" s="17"/>
      <c r="AD7" s="18" t="s">
        <v>32</v>
      </c>
      <c r="AE7" s="10">
        <f>SUMIF($AC$10:$AC$26,"F",AE10:AE26)</f>
        <v>313</v>
      </c>
      <c r="AF7" s="10">
        <f>SUMIF($AC$10:$AC$26,"F",AF10:AF26)</f>
        <v>1361</v>
      </c>
      <c r="AG7" s="10">
        <f>SUMIF($AC$10:$AC$26,"F",AG10:AG26)</f>
        <v>35</v>
      </c>
      <c r="AH7" s="17"/>
      <c r="AI7" s="17"/>
      <c r="AJ7" s="17"/>
      <c r="AK7" s="17"/>
      <c r="AL7" s="27" t="b">
        <v>1</v>
      </c>
      <c r="AM7" s="17"/>
      <c r="AN7" s="17"/>
      <c r="AO7" s="17"/>
      <c r="AP7" s="17"/>
      <c r="AQ7" s="17"/>
      <c r="AR7" s="17"/>
      <c r="AS7" s="17"/>
      <c r="AT7" s="17"/>
    </row>
    <row r="8" spans="27:46"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</row>
    <row r="9" spans="27:46" ht="38.25">
      <c r="AA9" s="19"/>
      <c r="AB9" s="20" t="s">
        <v>3</v>
      </c>
      <c r="AC9" s="20" t="s">
        <v>4</v>
      </c>
      <c r="AD9" s="20" t="s">
        <v>5</v>
      </c>
      <c r="AE9" s="20" t="s">
        <v>6</v>
      </c>
      <c r="AF9" s="20" t="s">
        <v>7</v>
      </c>
      <c r="AG9" s="20" t="s">
        <v>8</v>
      </c>
      <c r="AH9" s="20" t="s">
        <v>9</v>
      </c>
      <c r="AI9" s="21"/>
      <c r="AJ9" s="23" t="s">
        <v>10</v>
      </c>
      <c r="AK9" s="19"/>
      <c r="AL9" s="19"/>
      <c r="AM9" s="19"/>
      <c r="AN9" s="23" t="s">
        <v>33</v>
      </c>
      <c r="AO9" s="19"/>
      <c r="AP9" s="19"/>
      <c r="AQ9" s="17"/>
      <c r="AR9" s="17"/>
      <c r="AS9" s="17"/>
      <c r="AT9" s="27" t="s">
        <v>34</v>
      </c>
    </row>
    <row r="10" spans="27:46">
      <c r="AA10" s="17"/>
      <c r="AB10" s="1" t="s">
        <v>11</v>
      </c>
      <c r="AC10" s="2" t="s">
        <v>12</v>
      </c>
      <c r="AD10" s="2">
        <v>32</v>
      </c>
      <c r="AE10" s="2">
        <v>90</v>
      </c>
      <c r="AF10" s="2">
        <v>257</v>
      </c>
      <c r="AG10" s="2"/>
      <c r="AH10" s="3">
        <v>1</v>
      </c>
      <c r="AI10" s="17"/>
      <c r="AJ10" s="17"/>
      <c r="AK10" s="17"/>
      <c r="AL10" s="29">
        <v>4</v>
      </c>
      <c r="AM10" s="17"/>
      <c r="AN10" s="17"/>
      <c r="AO10" s="17"/>
      <c r="AP10" s="29">
        <v>2</v>
      </c>
      <c r="AQ10" s="17"/>
      <c r="AR10" s="17"/>
      <c r="AS10" s="17"/>
      <c r="AT10" s="27" t="s">
        <v>35</v>
      </c>
    </row>
    <row r="11" spans="27:46">
      <c r="AA11" s="17"/>
      <c r="AB11" s="12" t="s">
        <v>13</v>
      </c>
      <c r="AC11" t="s">
        <v>12</v>
      </c>
      <c r="AD11">
        <v>35</v>
      </c>
      <c r="AE11">
        <v>35</v>
      </c>
      <c r="AF11">
        <v>145</v>
      </c>
      <c r="AH11" s="13">
        <v>1</v>
      </c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27" t="s">
        <v>36</v>
      </c>
    </row>
    <row r="12" spans="27:46">
      <c r="AA12" s="17"/>
      <c r="AB12" s="12" t="s">
        <v>14</v>
      </c>
      <c r="AC12" t="s">
        <v>15</v>
      </c>
      <c r="AD12">
        <v>38</v>
      </c>
      <c r="AE12">
        <v>56</v>
      </c>
      <c r="AF12">
        <v>166</v>
      </c>
      <c r="AH12" s="13">
        <v>1</v>
      </c>
      <c r="AI12" s="17"/>
      <c r="AJ12" s="17"/>
      <c r="AK12" s="25" t="s">
        <v>37</v>
      </c>
      <c r="AL12" s="8" t="str">
        <f>INDEX(AC10:AC26,AL10)</f>
        <v>F</v>
      </c>
      <c r="AM12" s="17"/>
      <c r="AN12" s="17"/>
      <c r="AO12" s="24" t="s">
        <v>38</v>
      </c>
      <c r="AP12" s="11">
        <f>SUMIF(AH10:AH26,AP10,AF10:AF26)</f>
        <v>997</v>
      </c>
      <c r="AQ12" s="17"/>
      <c r="AR12" s="17"/>
      <c r="AS12" s="17"/>
      <c r="AT12" s="27" t="s">
        <v>39</v>
      </c>
    </row>
    <row r="13" spans="27:46">
      <c r="AA13" s="17"/>
      <c r="AB13" s="12" t="s">
        <v>16</v>
      </c>
      <c r="AC13" t="s">
        <v>15</v>
      </c>
      <c r="AD13">
        <v>55</v>
      </c>
      <c r="AE13">
        <v>66</v>
      </c>
      <c r="AF13">
        <v>380</v>
      </c>
      <c r="AH13" s="13">
        <v>2</v>
      </c>
      <c r="AI13" s="17"/>
      <c r="AJ13" s="17"/>
      <c r="AK13" s="25" t="s">
        <v>40</v>
      </c>
      <c r="AL13" s="9">
        <f>INDEX(AD10:AD26,AL10)</f>
        <v>55</v>
      </c>
      <c r="AM13" s="17"/>
      <c r="AN13" s="17"/>
      <c r="AO13" s="24" t="s">
        <v>41</v>
      </c>
      <c r="AP13" s="9">
        <f>SUMIF(AH10:AH26,AP10,AE10:AE26)</f>
        <v>223</v>
      </c>
      <c r="AQ13" s="17"/>
      <c r="AR13" s="17"/>
      <c r="AS13" s="17"/>
      <c r="AT13" s="27" t="s">
        <v>42</v>
      </c>
    </row>
    <row r="14" spans="27:46">
      <c r="AA14" s="17"/>
      <c r="AB14" s="12" t="s">
        <v>17</v>
      </c>
      <c r="AC14" t="s">
        <v>12</v>
      </c>
      <c r="AD14">
        <v>57</v>
      </c>
      <c r="AE14">
        <v>34</v>
      </c>
      <c r="AF14">
        <v>77</v>
      </c>
      <c r="AG14">
        <v>25</v>
      </c>
      <c r="AH14" s="13">
        <v>4</v>
      </c>
      <c r="AI14" s="17"/>
      <c r="AJ14" s="17"/>
      <c r="AK14" s="25" t="s">
        <v>43</v>
      </c>
      <c r="AL14" s="9">
        <f>INDEX(AE10:AE26,AL10)</f>
        <v>66</v>
      </c>
      <c r="AM14" s="17"/>
      <c r="AN14" s="17"/>
      <c r="AO14" s="24" t="s">
        <v>44</v>
      </c>
      <c r="AP14" s="9">
        <f>AVERAGEIF(AH10:AH26,AP10,AD10:AD26)</f>
        <v>36.200000000000003</v>
      </c>
      <c r="AQ14" s="17"/>
      <c r="AR14" s="17"/>
      <c r="AS14" s="17"/>
      <c r="AT14" s="27" t="s">
        <v>45</v>
      </c>
    </row>
    <row r="15" spans="27:46">
      <c r="AA15" s="17"/>
      <c r="AB15" s="12" t="s">
        <v>18</v>
      </c>
      <c r="AC15" t="s">
        <v>12</v>
      </c>
      <c r="AD15">
        <v>27</v>
      </c>
      <c r="AE15">
        <v>78</v>
      </c>
      <c r="AF15">
        <v>122</v>
      </c>
      <c r="AH15" s="13">
        <v>2</v>
      </c>
      <c r="AI15" s="17"/>
      <c r="AJ15" s="17"/>
      <c r="AK15" s="25" t="s">
        <v>46</v>
      </c>
      <c r="AL15" s="9">
        <f>INDEX(AF10:AF26,AL10)</f>
        <v>380</v>
      </c>
      <c r="AM15" s="17"/>
      <c r="AN15" s="17"/>
      <c r="AO15" s="24" t="s">
        <v>47</v>
      </c>
      <c r="AP15" s="9">
        <f>AVERAGEIF(AH10:AH26,AP10,AE10:AE26)</f>
        <v>44.6</v>
      </c>
      <c r="AQ15" s="17"/>
      <c r="AR15" s="17"/>
      <c r="AS15" s="17"/>
      <c r="AT15" s="17"/>
    </row>
    <row r="16" spans="27:46">
      <c r="AA16" s="17"/>
      <c r="AB16" s="12" t="s">
        <v>19</v>
      </c>
      <c r="AC16" t="s">
        <v>12</v>
      </c>
      <c r="AD16">
        <v>28</v>
      </c>
      <c r="AE16">
        <v>32</v>
      </c>
      <c r="AF16">
        <v>45</v>
      </c>
      <c r="AG16">
        <v>30</v>
      </c>
      <c r="AH16" s="13">
        <v>3</v>
      </c>
      <c r="AI16" s="17"/>
      <c r="AJ16" s="17"/>
      <c r="AK16" s="25" t="s">
        <v>48</v>
      </c>
      <c r="AL16" s="9">
        <f>INDEX(AG10:AG26,AL10)</f>
        <v>0</v>
      </c>
      <c r="AM16" s="17"/>
      <c r="AN16" s="17"/>
      <c r="AO16" s="24" t="s">
        <v>49</v>
      </c>
      <c r="AP16" s="10">
        <f>COUNTIF(AH10:AH26,AP10)</f>
        <v>5</v>
      </c>
      <c r="AQ16" s="17"/>
      <c r="AR16" s="17"/>
      <c r="AS16" s="17"/>
      <c r="AT16" s="17"/>
    </row>
    <row r="17" spans="27:46">
      <c r="AA17" s="17"/>
      <c r="AB17" s="12" t="s">
        <v>20</v>
      </c>
      <c r="AC17" t="s">
        <v>15</v>
      </c>
      <c r="AD17">
        <v>26</v>
      </c>
      <c r="AE17">
        <v>20</v>
      </c>
      <c r="AF17">
        <v>370</v>
      </c>
      <c r="AH17" s="13">
        <v>2</v>
      </c>
      <c r="AI17" s="17"/>
      <c r="AJ17" s="17"/>
      <c r="AK17" s="25" t="s">
        <v>50</v>
      </c>
      <c r="AL17" s="10">
        <f>INDEX(AH10:AH26,AL10)</f>
        <v>2</v>
      </c>
      <c r="AM17" s="17"/>
      <c r="AN17" s="17"/>
      <c r="AO17" s="24" t="s">
        <v>51</v>
      </c>
      <c r="AP17" s="28" t="str">
        <f>COUNTIFS(AH10:AH26,AP10,AC10:AC26,"M")&amp;" / "&amp;COUNTIFS(AH10:AH26,AP10,AC10:AC26,"F")</f>
        <v>3 / 2</v>
      </c>
      <c r="AQ17" s="17"/>
      <c r="AR17" s="17"/>
      <c r="AS17" s="17"/>
      <c r="AT17" s="17"/>
    </row>
    <row r="18" spans="27:46">
      <c r="AA18" s="17"/>
      <c r="AB18" s="12" t="s">
        <v>21</v>
      </c>
      <c r="AC18" t="s">
        <v>15</v>
      </c>
      <c r="AD18">
        <v>28</v>
      </c>
      <c r="AE18">
        <v>70</v>
      </c>
      <c r="AF18">
        <v>120</v>
      </c>
      <c r="AH18" s="13">
        <v>5</v>
      </c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</row>
    <row r="19" spans="27:46">
      <c r="AA19" s="17"/>
      <c r="AB19" s="12" t="s">
        <v>22</v>
      </c>
      <c r="AC19" t="s">
        <v>15</v>
      </c>
      <c r="AD19">
        <v>27</v>
      </c>
      <c r="AE19">
        <v>12</v>
      </c>
      <c r="AF19">
        <v>100</v>
      </c>
      <c r="AG19">
        <v>35</v>
      </c>
      <c r="AH19" s="13">
        <v>1</v>
      </c>
      <c r="AI19" s="17"/>
      <c r="AJ19" s="26" t="s">
        <v>52</v>
      </c>
      <c r="AK19" s="17"/>
      <c r="AL19" s="29">
        <v>2</v>
      </c>
      <c r="AM19" s="17"/>
      <c r="AN19" s="17"/>
      <c r="AO19" s="17"/>
      <c r="AP19" s="17"/>
      <c r="AQ19" s="17"/>
      <c r="AR19" s="17"/>
      <c r="AS19" s="17"/>
      <c r="AT19" s="17"/>
    </row>
    <row r="20" spans="27:46">
      <c r="AA20" s="17"/>
      <c r="AB20" s="12" t="s">
        <v>23</v>
      </c>
      <c r="AC20" t="s">
        <v>12</v>
      </c>
      <c r="AD20">
        <v>30</v>
      </c>
      <c r="AE20">
        <v>34</v>
      </c>
      <c r="AF20">
        <v>80</v>
      </c>
      <c r="AH20" s="13">
        <v>2</v>
      </c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</row>
    <row r="21" spans="27:46">
      <c r="AA21" s="17"/>
      <c r="AB21" s="12" t="s">
        <v>24</v>
      </c>
      <c r="AC21" t="s">
        <v>12</v>
      </c>
      <c r="AD21">
        <v>43</v>
      </c>
      <c r="AE21">
        <v>25</v>
      </c>
      <c r="AF21">
        <v>45</v>
      </c>
      <c r="AH21" s="13">
        <v>2</v>
      </c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</row>
    <row r="22" spans="27:46">
      <c r="AA22" s="17"/>
      <c r="AB22" s="12" t="s">
        <v>25</v>
      </c>
      <c r="AC22" t="s">
        <v>12</v>
      </c>
      <c r="AD22">
        <v>54</v>
      </c>
      <c r="AE22">
        <v>140</v>
      </c>
      <c r="AF22">
        <v>160</v>
      </c>
      <c r="AG22">
        <v>22</v>
      </c>
      <c r="AH22" s="13">
        <v>5</v>
      </c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</row>
    <row r="23" spans="27:46">
      <c r="AA23" s="17"/>
      <c r="AB23" s="12" t="s">
        <v>26</v>
      </c>
      <c r="AC23" t="s">
        <v>15</v>
      </c>
      <c r="AD23">
        <v>28</v>
      </c>
      <c r="AE23">
        <v>10</v>
      </c>
      <c r="AF23">
        <v>105</v>
      </c>
      <c r="AH23" s="13">
        <v>4</v>
      </c>
      <c r="AI23" s="17"/>
      <c r="AJ23" s="17"/>
      <c r="AK23" s="24" t="s">
        <v>38</v>
      </c>
      <c r="AL23" s="7">
        <f>IF(AL19=1,AF6,AF7)</f>
        <v>1361</v>
      </c>
      <c r="AM23" s="17"/>
      <c r="AN23" s="17"/>
      <c r="AO23" s="17"/>
      <c r="AP23" s="17"/>
      <c r="AQ23" s="17"/>
      <c r="AR23" s="17"/>
      <c r="AS23" s="17"/>
      <c r="AT23" s="17"/>
    </row>
    <row r="24" spans="27:46">
      <c r="AA24" s="17"/>
      <c r="AB24" s="12" t="s">
        <v>27</v>
      </c>
      <c r="AC24" t="s">
        <v>12</v>
      </c>
      <c r="AD24">
        <v>36</v>
      </c>
      <c r="AE24">
        <v>35</v>
      </c>
      <c r="AF24">
        <v>102</v>
      </c>
      <c r="AG24">
        <v>10</v>
      </c>
      <c r="AH24" s="13">
        <v>4</v>
      </c>
      <c r="AI24" s="17"/>
      <c r="AJ24" s="17"/>
      <c r="AK24" s="24" t="s">
        <v>41</v>
      </c>
      <c r="AL24" s="7">
        <f>IF(AL19=1,AE6,AE7)</f>
        <v>313</v>
      </c>
      <c r="AM24" s="17"/>
      <c r="AN24" s="17"/>
      <c r="AO24" s="17"/>
      <c r="AP24" s="17"/>
      <c r="AQ24" s="17"/>
      <c r="AR24" s="17"/>
      <c r="AS24" s="17"/>
      <c r="AT24" s="17"/>
    </row>
    <row r="25" spans="27:46">
      <c r="AA25" s="17"/>
      <c r="AB25" s="12" t="s">
        <v>28</v>
      </c>
      <c r="AC25" t="s">
        <v>15</v>
      </c>
      <c r="AD25">
        <v>27</v>
      </c>
      <c r="AE25">
        <v>35</v>
      </c>
      <c r="AF25">
        <v>55</v>
      </c>
      <c r="AH25" s="13">
        <v>4</v>
      </c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</row>
    <row r="26" spans="27:46">
      <c r="AA26" s="17"/>
      <c r="AB26" s="14" t="s">
        <v>29</v>
      </c>
      <c r="AC26" s="15" t="s">
        <v>15</v>
      </c>
      <c r="AD26" s="15">
        <v>26</v>
      </c>
      <c r="AE26" s="15">
        <v>44</v>
      </c>
      <c r="AF26" s="15">
        <v>65</v>
      </c>
      <c r="AG26" s="15"/>
      <c r="AH26" s="16">
        <v>1</v>
      </c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</row>
    <row r="27" spans="27:46"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</row>
  </sheetData>
  <phoneticPr fontId="0" type="noConversion"/>
  <conditionalFormatting sqref="AD10:AD26">
    <cfRule type="expression" dxfId="1" priority="2" stopIfTrue="1">
      <formula>$AL$6=TRUE</formula>
    </cfRule>
  </conditionalFormatting>
  <conditionalFormatting sqref="AF10:AF26">
    <cfRule type="expression" dxfId="0" priority="1">
      <formula>$AL$7=TRUE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35</xdr:col>
                    <xdr:colOff>0</xdr:colOff>
                    <xdr:row>9</xdr:row>
                    <xdr:rowOff>0</xdr:rowOff>
                  </from>
                  <to>
                    <xdr:col>37</xdr:col>
                    <xdr:colOff>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35</xdr:col>
                    <xdr:colOff>561975</xdr:colOff>
                    <xdr:row>0</xdr:row>
                    <xdr:rowOff>47625</xdr:rowOff>
                  </from>
                  <to>
                    <xdr:col>39</xdr:col>
                    <xdr:colOff>238125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35</xdr:col>
                    <xdr:colOff>95250</xdr:colOff>
                    <xdr:row>19</xdr:row>
                    <xdr:rowOff>19050</xdr:rowOff>
                  </from>
                  <to>
                    <xdr:col>36</xdr:col>
                    <xdr:colOff>457200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>
                <anchor moveWithCells="1">
                  <from>
                    <xdr:col>35</xdr:col>
                    <xdr:colOff>95250</xdr:colOff>
                    <xdr:row>20</xdr:row>
                    <xdr:rowOff>57150</xdr:rowOff>
                  </from>
                  <to>
                    <xdr:col>36</xdr:col>
                    <xdr:colOff>457200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>
                <anchor moveWithCells="1">
                  <from>
                    <xdr:col>34</xdr:col>
                    <xdr:colOff>457200</xdr:colOff>
                    <xdr:row>4</xdr:row>
                    <xdr:rowOff>104775</xdr:rowOff>
                  </from>
                  <to>
                    <xdr:col>37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>
                <anchor moveWithCells="1">
                  <from>
                    <xdr:col>34</xdr:col>
                    <xdr:colOff>457200</xdr:colOff>
                    <xdr:row>5</xdr:row>
                    <xdr:rowOff>152400</xdr:rowOff>
                  </from>
                  <to>
                    <xdr:col>37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Drop Down 8">
              <controlPr defaultSize="0" autoLine="0" autoPict="0">
                <anchor moveWithCells="1">
                  <from>
                    <xdr:col>39</xdr:col>
                    <xdr:colOff>0</xdr:colOff>
                    <xdr:row>9</xdr:row>
                    <xdr:rowOff>0</xdr:rowOff>
                  </from>
                  <to>
                    <xdr:col>41</xdr:col>
                    <xdr:colOff>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9:H26"/>
  <sheetViews>
    <sheetView workbookViewId="0"/>
  </sheetViews>
  <sheetFormatPr defaultRowHeight="12.75"/>
  <cols>
    <col min="1" max="26" width="9.140625" customWidth="1"/>
  </cols>
  <sheetData>
    <row r="9" spans="2:8" ht="12.75" customHeight="1">
      <c r="B9" s="20" t="s">
        <v>3</v>
      </c>
      <c r="C9" s="20" t="s">
        <v>4</v>
      </c>
      <c r="D9" s="20" t="s">
        <v>5</v>
      </c>
      <c r="E9" s="20" t="s">
        <v>6</v>
      </c>
      <c r="F9" s="20" t="s">
        <v>7</v>
      </c>
      <c r="G9" s="20" t="s">
        <v>8</v>
      </c>
      <c r="H9" s="20" t="s">
        <v>9</v>
      </c>
    </row>
    <row r="10" spans="2:8">
      <c r="B10" s="1" t="s">
        <v>11</v>
      </c>
      <c r="C10" s="2" t="s">
        <v>12</v>
      </c>
      <c r="D10" s="2">
        <v>32</v>
      </c>
      <c r="E10" s="2">
        <v>90</v>
      </c>
      <c r="F10" s="2">
        <v>257</v>
      </c>
      <c r="G10" s="2"/>
      <c r="H10" s="3">
        <v>1</v>
      </c>
    </row>
    <row r="11" spans="2:8" ht="12.75" customHeight="1">
      <c r="B11" s="12" t="s">
        <v>13</v>
      </c>
      <c r="C11" t="s">
        <v>12</v>
      </c>
      <c r="D11">
        <v>35</v>
      </c>
      <c r="E11">
        <v>35</v>
      </c>
      <c r="F11">
        <v>145</v>
      </c>
      <c r="H11" s="13">
        <v>1</v>
      </c>
    </row>
    <row r="12" spans="2:8">
      <c r="B12" s="12" t="s">
        <v>14</v>
      </c>
      <c r="C12" t="s">
        <v>15</v>
      </c>
      <c r="D12">
        <v>38</v>
      </c>
      <c r="E12">
        <v>56</v>
      </c>
      <c r="F12">
        <v>166</v>
      </c>
      <c r="H12" s="13">
        <v>1</v>
      </c>
    </row>
    <row r="13" spans="2:8">
      <c r="B13" s="12" t="s">
        <v>16</v>
      </c>
      <c r="C13" t="s">
        <v>15</v>
      </c>
      <c r="D13">
        <v>55</v>
      </c>
      <c r="E13">
        <v>66</v>
      </c>
      <c r="F13">
        <v>380</v>
      </c>
      <c r="H13" s="13">
        <v>2</v>
      </c>
    </row>
    <row r="14" spans="2:8">
      <c r="B14" s="12" t="s">
        <v>17</v>
      </c>
      <c r="C14" t="s">
        <v>12</v>
      </c>
      <c r="D14">
        <v>57</v>
      </c>
      <c r="E14">
        <v>34</v>
      </c>
      <c r="F14">
        <v>77</v>
      </c>
      <c r="G14">
        <v>25</v>
      </c>
      <c r="H14" s="13">
        <v>4</v>
      </c>
    </row>
    <row r="15" spans="2:8">
      <c r="B15" s="12" t="s">
        <v>18</v>
      </c>
      <c r="C15" t="s">
        <v>12</v>
      </c>
      <c r="D15">
        <v>27</v>
      </c>
      <c r="E15">
        <v>78</v>
      </c>
      <c r="F15">
        <v>122</v>
      </c>
      <c r="H15" s="13">
        <v>2</v>
      </c>
    </row>
    <row r="16" spans="2:8">
      <c r="B16" s="12" t="s">
        <v>19</v>
      </c>
      <c r="C16" t="s">
        <v>12</v>
      </c>
      <c r="D16">
        <v>28</v>
      </c>
      <c r="E16">
        <v>32</v>
      </c>
      <c r="F16">
        <v>45</v>
      </c>
      <c r="G16">
        <v>30</v>
      </c>
      <c r="H16" s="13">
        <v>3</v>
      </c>
    </row>
    <row r="17" spans="2:8">
      <c r="B17" s="12" t="s">
        <v>20</v>
      </c>
      <c r="C17" t="s">
        <v>15</v>
      </c>
      <c r="D17">
        <v>26</v>
      </c>
      <c r="E17">
        <v>20</v>
      </c>
      <c r="F17">
        <v>370</v>
      </c>
      <c r="H17" s="13">
        <v>2</v>
      </c>
    </row>
    <row r="18" spans="2:8">
      <c r="B18" s="12" t="s">
        <v>21</v>
      </c>
      <c r="C18" t="s">
        <v>15</v>
      </c>
      <c r="D18">
        <v>28</v>
      </c>
      <c r="E18">
        <v>70</v>
      </c>
      <c r="F18">
        <v>120</v>
      </c>
      <c r="H18" s="13">
        <v>5</v>
      </c>
    </row>
    <row r="19" spans="2:8">
      <c r="B19" s="12" t="s">
        <v>22</v>
      </c>
      <c r="C19" t="s">
        <v>15</v>
      </c>
      <c r="D19">
        <v>27</v>
      </c>
      <c r="E19">
        <v>12</v>
      </c>
      <c r="F19">
        <v>100</v>
      </c>
      <c r="G19">
        <v>35</v>
      </c>
      <c r="H19" s="13">
        <v>1</v>
      </c>
    </row>
    <row r="20" spans="2:8">
      <c r="B20" s="12" t="s">
        <v>23</v>
      </c>
      <c r="C20" t="s">
        <v>12</v>
      </c>
      <c r="D20">
        <v>30</v>
      </c>
      <c r="E20">
        <v>34</v>
      </c>
      <c r="F20">
        <v>80</v>
      </c>
      <c r="H20" s="13">
        <v>2</v>
      </c>
    </row>
    <row r="21" spans="2:8">
      <c r="B21" s="12" t="s">
        <v>24</v>
      </c>
      <c r="C21" t="s">
        <v>12</v>
      </c>
      <c r="D21">
        <v>43</v>
      </c>
      <c r="E21">
        <v>25</v>
      </c>
      <c r="F21">
        <v>45</v>
      </c>
      <c r="H21" s="13">
        <v>2</v>
      </c>
    </row>
    <row r="22" spans="2:8">
      <c r="B22" s="12" t="s">
        <v>25</v>
      </c>
      <c r="C22" t="s">
        <v>12</v>
      </c>
      <c r="D22">
        <v>54</v>
      </c>
      <c r="E22">
        <v>140</v>
      </c>
      <c r="F22">
        <v>160</v>
      </c>
      <c r="G22">
        <v>22</v>
      </c>
      <c r="H22" s="13">
        <v>5</v>
      </c>
    </row>
    <row r="23" spans="2:8">
      <c r="B23" s="12" t="s">
        <v>26</v>
      </c>
      <c r="C23" t="s">
        <v>15</v>
      </c>
      <c r="D23">
        <v>28</v>
      </c>
      <c r="E23">
        <v>10</v>
      </c>
      <c r="F23">
        <v>105</v>
      </c>
      <c r="H23" s="13">
        <v>4</v>
      </c>
    </row>
    <row r="24" spans="2:8">
      <c r="B24" s="12" t="s">
        <v>27</v>
      </c>
      <c r="C24" t="s">
        <v>12</v>
      </c>
      <c r="D24">
        <v>36</v>
      </c>
      <c r="E24">
        <v>35</v>
      </c>
      <c r="F24">
        <v>102</v>
      </c>
      <c r="G24">
        <v>10</v>
      </c>
      <c r="H24" s="13">
        <v>4</v>
      </c>
    </row>
    <row r="25" spans="2:8">
      <c r="B25" s="12" t="s">
        <v>28</v>
      </c>
      <c r="C25" t="s">
        <v>15</v>
      </c>
      <c r="D25">
        <v>27</v>
      </c>
      <c r="E25">
        <v>35</v>
      </c>
      <c r="F25">
        <v>55</v>
      </c>
      <c r="H25" s="13">
        <v>4</v>
      </c>
    </row>
    <row r="26" spans="2:8">
      <c r="B26" s="14" t="s">
        <v>29</v>
      </c>
      <c r="C26" s="15" t="s">
        <v>15</v>
      </c>
      <c r="D26" s="15">
        <v>26</v>
      </c>
      <c r="E26" s="15">
        <v>44</v>
      </c>
      <c r="F26" s="15">
        <v>65</v>
      </c>
      <c r="G26" s="15"/>
      <c r="H26" s="16">
        <v>1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ITESM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Programa Portátiles</dc:creator>
  <cp:keywords/>
  <dc:description/>
  <cp:lastModifiedBy>Giram, Saurabh (Postgrad Student)</cp:lastModifiedBy>
  <cp:revision/>
  <dcterms:created xsi:type="dcterms:W3CDTF">2000-02-22T21:52:14Z</dcterms:created>
  <dcterms:modified xsi:type="dcterms:W3CDTF">2021-11-15T16:04:16Z</dcterms:modified>
  <cp:category/>
  <cp:contentStatus/>
</cp:coreProperties>
</file>