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lancsac-my.sharepoint.com/personal/giram_lancaster_ac_uk/Documents/Lancaster/BA/MSCI502 Operational Research and Prescriptive Analytics/"/>
    </mc:Choice>
  </mc:AlternateContent>
  <xr:revisionPtr revIDLastSave="3060" documentId="8_{B8D889CA-9E37-4A60-B5A0-2122657E1B99}" xr6:coauthVersionLast="47" xr6:coauthVersionMax="47" xr10:uidLastSave="{927E3B6B-307A-4C2E-A83F-B013F27F910B}"/>
  <bookViews>
    <workbookView xWindow="0" yWindow="460" windowWidth="20740" windowHeight="11760" xr2:uid="{41D2C18F-E9B9-4C13-99CD-A890281A34AA}"/>
  </bookViews>
  <sheets>
    <sheet name="User" sheetId="1" r:id="rId1"/>
    <sheet name="Data for 2021" sheetId="2" r:id="rId2"/>
    <sheet name="Predictive Modelling 2022" sheetId="6" r:id="rId3"/>
    <sheet name="Predictive Model Part C " sheetId="11" r:id="rId4"/>
  </sheets>
  <externalReferences>
    <externalReference r:id="rId5"/>
    <externalReference r:id="rId6"/>
  </externalReferences>
  <definedNames>
    <definedName name="_ftn1" localSheetId="0">User!$R$15</definedName>
    <definedName name="_ftn2" localSheetId="0">User!$R$16</definedName>
    <definedName name="_ftn3" localSheetId="0">User!$R$17</definedName>
    <definedName name="_ftnref1" localSheetId="0">User!$R$8</definedName>
    <definedName name="_ftnref2" localSheetId="0">User!$R$9</definedName>
    <definedName name="_ftnref3" localSheetId="0">User!$R$12</definedName>
    <definedName name="chart_choice">'[1]Investigative Modelling'!$T$16</definedName>
    <definedName name="Chart_LPS196">'Data for 2021'!$O$70</definedName>
    <definedName name="cut_number">'[1]Investigative Modelling'!$M$8</definedName>
    <definedName name="cutting_choice" localSheetId="3">'Predictive Model Part C '!$I$12</definedName>
    <definedName name="cutting_choice">'Predictive Modelling 2022'!$I$12</definedName>
    <definedName name="Final_size" localSheetId="3">'Predictive Model Part C '!$K$9</definedName>
    <definedName name="Final_size" localSheetId="2">'Predictive Modelling 2022'!$K$9</definedName>
    <definedName name="Final_size">'Data for 2021'!$K$9</definedName>
    <definedName name="groupnumber">'[1]Investigative Modelling'!$M$7</definedName>
    <definedName name="Maxlogsize" localSheetId="3">'Predictive Model Part C '!$H$12</definedName>
    <definedName name="Maxlogsize">'Predictive Modelling 2022'!$H$12</definedName>
    <definedName name="PartC_answers">'Predictive Model Part C '!$AG$2</definedName>
    <definedName name="PartD_answers">'Predictive Model Part C '!$T$1</definedName>
    <definedName name="reps" localSheetId="3">'Predictive Model Part C '!$H$16</definedName>
    <definedName name="reps">'Predictive Modelling 2022'!$H$16</definedName>
    <definedName name="sat_working" localSheetId="3">'Predictive Model Part C '!$E$12</definedName>
    <definedName name="sat_working">'Predictive Modelling 2022'!$E$12</definedName>
    <definedName name="Sawmill_schedule" localSheetId="3">'Predictive Model Part C '!$B$4:$B$17</definedName>
    <definedName name="Sawmill_schedule" localSheetId="2">'Predictive Modelling 2022'!$B$4:$B$17</definedName>
    <definedName name="Sawmill_schedule">'Data for 2021'!$B$4:$B$17</definedName>
    <definedName name="solver_adj" localSheetId="3" hidden="1">'Predictive Model Part C '!$B$4:$B$17</definedName>
    <definedName name="solver_adj" localSheetId="2" hidden="1">'Predictive Modelling 2022'!$B$4:$B$17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'Predictive Model Part C '!$B$4:$B$17</definedName>
    <definedName name="solver_lhs1" localSheetId="2" hidden="1">'Predictive Modelling 2022'!$B$4:$B$17</definedName>
    <definedName name="solver_lhs2" localSheetId="3" hidden="1">'Predictive Model Part C '!$K$9</definedName>
    <definedName name="solver_lhs2" localSheetId="2" hidden="1">'Predictive Modelling 2022'!$K$9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1</definedName>
    <definedName name="solver_num" localSheetId="2" hidden="1">1</definedName>
    <definedName name="solver_nwt" localSheetId="3" hidden="1">1</definedName>
    <definedName name="solver_nwt" localSheetId="2" hidden="1">1</definedName>
    <definedName name="solver_opt" localSheetId="3" hidden="1">'Predictive Model Part C '!$K$6</definedName>
    <definedName name="solver_opt" localSheetId="2" hidden="1">'Predictive Modelling 2022'!$K$6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1</definedName>
    <definedName name="solver_rel1" localSheetId="3" hidden="1">1</definedName>
    <definedName name="solver_rel1" localSheetId="2" hidden="1">1</definedName>
    <definedName name="solver_rel2" localSheetId="3" hidden="1">1</definedName>
    <definedName name="solver_rel2" localSheetId="2" hidden="1">1</definedName>
    <definedName name="solver_rhs1" localSheetId="3" hidden="1">'Predictive Model Part C '!$B$18</definedName>
    <definedName name="solver_rhs1" localSheetId="2" hidden="1">'Predictive Modelling 2022'!$B$18</definedName>
    <definedName name="solver_rhs2" localSheetId="3" hidden="1">'Predictive Model Part C '!$L$12</definedName>
    <definedName name="solver_rhs2" localSheetId="2" hidden="1">'Predictive Modelling 2022'!$P$6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1</definedName>
    <definedName name="solver_scl" localSheetId="2" hidden="1">1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2</definedName>
    <definedName name="solver_typ" localSheetId="2" hidden="1">2</definedName>
    <definedName name="solver_val" localSheetId="3" hidden="1">500</definedName>
    <definedName name="solver_val" localSheetId="2" hidden="1">500</definedName>
    <definedName name="solver_ver" localSheetId="3" hidden="1">3</definedName>
    <definedName name="solver_ver" localSheetId="2" hidden="1">3</definedName>
    <definedName name="stat_choice">#REF!</definedName>
    <definedName name="vvvvv">'[2]my_model (7x4)'!$F$17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5" i="11" l="1" a="1"/>
  <c r="BT5" i="11" s="1"/>
  <c r="BP5" i="11" a="1"/>
  <c r="BP5" i="11" s="1"/>
  <c r="BJ14" i="11"/>
  <c r="BB14" i="11"/>
  <c r="BJ13" i="11"/>
  <c r="BF13" i="11"/>
  <c r="BB13" i="11"/>
  <c r="BR12" i="11"/>
  <c r="BN12" i="11"/>
  <c r="BJ12" i="11"/>
  <c r="BF12" i="11"/>
  <c r="BB12" i="11"/>
  <c r="BR11" i="11"/>
  <c r="BN11" i="11"/>
  <c r="BJ11" i="11"/>
  <c r="BF11" i="11"/>
  <c r="BB11" i="11"/>
  <c r="BR10" i="11"/>
  <c r="BN10" i="11"/>
  <c r="BJ10" i="11"/>
  <c r="BF10" i="11"/>
  <c r="BB10" i="11"/>
  <c r="BR9" i="11"/>
  <c r="BN9" i="11"/>
  <c r="BJ9" i="11"/>
  <c r="BF9" i="11"/>
  <c r="BB9" i="11"/>
  <c r="BR8" i="11"/>
  <c r="BN8" i="11"/>
  <c r="BJ8" i="11"/>
  <c r="BF8" i="11"/>
  <c r="BB8" i="11"/>
  <c r="BR7" i="11"/>
  <c r="BN7" i="11"/>
  <c r="BJ7" i="11"/>
  <c r="BF7" i="11"/>
  <c r="BB7" i="11"/>
  <c r="BR6" i="11"/>
  <c r="BN6" i="11"/>
  <c r="BJ6" i="11"/>
  <c r="BF6" i="11"/>
  <c r="BB6" i="11"/>
  <c r="BR5" i="11"/>
  <c r="BN5" i="11"/>
  <c r="BJ5" i="11"/>
  <c r="BF5" i="11"/>
  <c r="BB5" i="11"/>
  <c r="K12" i="2"/>
  <c r="K11" i="2"/>
  <c r="J44" i="1"/>
  <c r="U7" i="6"/>
  <c r="J42" i="1"/>
  <c r="U5" i="6"/>
  <c r="Z9" i="11"/>
  <c r="AA11" i="11" s="1"/>
  <c r="BT8" i="11" l="1"/>
  <c r="BT11" i="11"/>
  <c r="BT7" i="11"/>
  <c r="BT10" i="11"/>
  <c r="BT6" i="11"/>
  <c r="BT12" i="11"/>
  <c r="BT9" i="11"/>
  <c r="BP12" i="11"/>
  <c r="BP7" i="11"/>
  <c r="BP10" i="11"/>
  <c r="BP6" i="11"/>
  <c r="BP8" i="11"/>
  <c r="BP11" i="11"/>
  <c r="BP9" i="11"/>
  <c r="AJ34" i="11"/>
  <c r="AJ18" i="11"/>
  <c r="H14" i="11"/>
  <c r="J40" i="1"/>
  <c r="S10" i="6"/>
  <c r="I10" i="6"/>
  <c r="J36" i="1" s="1"/>
  <c r="J16" i="1"/>
  <c r="J10" i="1"/>
  <c r="K15" i="2"/>
  <c r="L15" i="2" s="1" a="1"/>
  <c r="L15" i="2" s="1"/>
  <c r="K13" i="2"/>
  <c r="K14" i="2"/>
  <c r="J22" i="1"/>
  <c r="J4" i="1"/>
  <c r="I215" i="11"/>
  <c r="I9" i="11" s="1"/>
  <c r="G215" i="11" a="1"/>
  <c r="G215" i="11" s="1"/>
  <c r="H215" i="11" s="1"/>
  <c r="G214" i="11" a="1"/>
  <c r="G214" i="11" s="1"/>
  <c r="F214" i="11"/>
  <c r="I213" i="11"/>
  <c r="F213" i="11" s="1"/>
  <c r="G213" i="11" a="1"/>
  <c r="G213" i="11" s="1"/>
  <c r="I212" i="11"/>
  <c r="F212" i="11" s="1"/>
  <c r="G212" i="11" a="1"/>
  <c r="G212" i="11" s="1"/>
  <c r="I211" i="11"/>
  <c r="F211" i="11" s="1"/>
  <c r="G211" i="11" a="1"/>
  <c r="G211" i="11" s="1"/>
  <c r="I210" i="11"/>
  <c r="F210" i="11" s="1"/>
  <c r="G210" i="11" a="1"/>
  <c r="G210" i="11" s="1"/>
  <c r="I209" i="11"/>
  <c r="F209" i="11" s="1"/>
  <c r="G209" i="11" a="1"/>
  <c r="G209" i="11" s="1"/>
  <c r="I208" i="11"/>
  <c r="F208" i="11" s="1"/>
  <c r="G208" i="11" a="1"/>
  <c r="G208" i="11" s="1"/>
  <c r="H208" i="11" s="1"/>
  <c r="I207" i="11"/>
  <c r="F207" i="11" s="1"/>
  <c r="G207" i="11" a="1"/>
  <c r="G207" i="11" s="1"/>
  <c r="I206" i="11"/>
  <c r="F206" i="11" s="1"/>
  <c r="G206" i="11" a="1"/>
  <c r="G206" i="11" s="1"/>
  <c r="I205" i="11"/>
  <c r="F205" i="11" s="1"/>
  <c r="G205" i="11" a="1"/>
  <c r="G205" i="11" s="1"/>
  <c r="I204" i="11"/>
  <c r="F204" i="11" s="1"/>
  <c r="G204" i="11" a="1"/>
  <c r="G204" i="11" s="1"/>
  <c r="I203" i="11"/>
  <c r="F203" i="11" s="1"/>
  <c r="G203" i="11" a="1"/>
  <c r="G203" i="11" s="1"/>
  <c r="I202" i="11"/>
  <c r="F202" i="11" s="1"/>
  <c r="G202" i="11" a="1"/>
  <c r="G202" i="11" s="1"/>
  <c r="I201" i="11"/>
  <c r="F201" i="11" s="1"/>
  <c r="G201" i="11" a="1"/>
  <c r="G201" i="11" s="1"/>
  <c r="H201" i="11" s="1"/>
  <c r="G200" i="11" a="1"/>
  <c r="G200" i="11" s="1"/>
  <c r="I199" i="11"/>
  <c r="F199" i="11" s="1"/>
  <c r="G199" i="11" a="1"/>
  <c r="G199" i="11" s="1"/>
  <c r="I198" i="11"/>
  <c r="F198" i="11" s="1"/>
  <c r="G198" i="11" a="1"/>
  <c r="G198" i="11" s="1"/>
  <c r="I197" i="11"/>
  <c r="F197" i="11" s="1"/>
  <c r="G197" i="11" a="1"/>
  <c r="G197" i="11" s="1"/>
  <c r="I196" i="11"/>
  <c r="F196" i="11" s="1"/>
  <c r="G196" i="11" a="1"/>
  <c r="G196" i="11" s="1"/>
  <c r="I195" i="11"/>
  <c r="F195" i="11" s="1"/>
  <c r="G195" i="11" a="1"/>
  <c r="G195" i="11" s="1"/>
  <c r="I194" i="11"/>
  <c r="F194" i="11" s="1"/>
  <c r="G194" i="11" a="1"/>
  <c r="G194" i="11" s="1"/>
  <c r="H194" i="11" s="1"/>
  <c r="I193" i="11"/>
  <c r="I200" i="11" s="1"/>
  <c r="F200" i="11" s="1"/>
  <c r="G193" i="11" a="1"/>
  <c r="G193" i="11" s="1"/>
  <c r="I192" i="11"/>
  <c r="F192" i="11" s="1"/>
  <c r="G192" i="11" a="1"/>
  <c r="G192" i="11" s="1"/>
  <c r="I191" i="11"/>
  <c r="F191" i="11" s="1"/>
  <c r="G191" i="11" a="1"/>
  <c r="G191" i="11" s="1"/>
  <c r="I190" i="11"/>
  <c r="F190" i="11" s="1"/>
  <c r="G190" i="11" a="1"/>
  <c r="G190" i="11" s="1"/>
  <c r="I189" i="11"/>
  <c r="F189" i="11" s="1"/>
  <c r="G189" i="11" a="1"/>
  <c r="G189" i="11" s="1"/>
  <c r="I188" i="11"/>
  <c r="F188" i="11" s="1"/>
  <c r="G188" i="11" a="1"/>
  <c r="G188" i="11" s="1"/>
  <c r="I187" i="11"/>
  <c r="F187" i="11" s="1"/>
  <c r="G187" i="11" a="1"/>
  <c r="G187" i="11" s="1"/>
  <c r="H187" i="11" s="1"/>
  <c r="G186" i="11" a="1"/>
  <c r="G186" i="11" s="1"/>
  <c r="H186" i="11" s="1"/>
  <c r="I185" i="11"/>
  <c r="F185" i="11" s="1"/>
  <c r="G185" i="11" a="1"/>
  <c r="G185" i="11" s="1"/>
  <c r="I184" i="11"/>
  <c r="F184" i="11" s="1"/>
  <c r="G184" i="11" a="1"/>
  <c r="G184" i="11" s="1"/>
  <c r="I183" i="11"/>
  <c r="F183" i="11" s="1"/>
  <c r="G183" i="11" a="1"/>
  <c r="G183" i="11" s="1"/>
  <c r="I182" i="11"/>
  <c r="F182" i="11" s="1"/>
  <c r="G182" i="11" a="1"/>
  <c r="G182" i="11" s="1"/>
  <c r="I181" i="11"/>
  <c r="F181" i="11" s="1"/>
  <c r="G181" i="11" a="1"/>
  <c r="G181" i="11" s="1"/>
  <c r="I180" i="11"/>
  <c r="F180" i="11" s="1"/>
  <c r="G180" i="11" a="1"/>
  <c r="G180" i="11" s="1"/>
  <c r="H180" i="11" s="1"/>
  <c r="I179" i="11"/>
  <c r="I186" i="11" s="1"/>
  <c r="F186" i="11" s="1"/>
  <c r="G179" i="11" a="1"/>
  <c r="G179" i="11" s="1"/>
  <c r="H179" i="11" s="1"/>
  <c r="I178" i="11"/>
  <c r="F178" i="11" s="1"/>
  <c r="G178" i="11" a="1"/>
  <c r="G178" i="11" s="1"/>
  <c r="I177" i="11"/>
  <c r="F177" i="11" s="1"/>
  <c r="G177" i="11" a="1"/>
  <c r="G177" i="11" s="1"/>
  <c r="I176" i="11"/>
  <c r="F176" i="11" s="1"/>
  <c r="G176" i="11" a="1"/>
  <c r="G176" i="11" s="1"/>
  <c r="I175" i="11"/>
  <c r="F175" i="11" s="1"/>
  <c r="G175" i="11" a="1"/>
  <c r="G175" i="11" s="1"/>
  <c r="I174" i="11"/>
  <c r="F174" i="11" s="1"/>
  <c r="G174" i="11" a="1"/>
  <c r="G174" i="11" s="1"/>
  <c r="I173" i="11"/>
  <c r="F173" i="11" s="1"/>
  <c r="G173" i="11" a="1"/>
  <c r="G173" i="11" s="1"/>
  <c r="H173" i="11" s="1"/>
  <c r="G172" i="11" a="1"/>
  <c r="G172" i="11" s="1"/>
  <c r="I171" i="11"/>
  <c r="F171" i="11" s="1"/>
  <c r="G171" i="11" a="1"/>
  <c r="G171" i="11" s="1"/>
  <c r="I170" i="11"/>
  <c r="F170" i="11" s="1"/>
  <c r="G170" i="11" a="1"/>
  <c r="G170" i="11" s="1"/>
  <c r="I169" i="11"/>
  <c r="F169" i="11" s="1"/>
  <c r="G169" i="11" a="1"/>
  <c r="G169" i="11" s="1"/>
  <c r="I168" i="11"/>
  <c r="F168" i="11" s="1"/>
  <c r="G168" i="11" a="1"/>
  <c r="G168" i="11" s="1"/>
  <c r="I167" i="11"/>
  <c r="F167" i="11" s="1"/>
  <c r="G167" i="11" a="1"/>
  <c r="G167" i="11" s="1"/>
  <c r="I166" i="11"/>
  <c r="F166" i="11" s="1"/>
  <c r="G166" i="11" a="1"/>
  <c r="G166" i="11" s="1"/>
  <c r="H166" i="11" s="1"/>
  <c r="I165" i="11"/>
  <c r="I172" i="11" s="1"/>
  <c r="F172" i="11" s="1"/>
  <c r="G165" i="11" a="1"/>
  <c r="G165" i="11" s="1"/>
  <c r="I164" i="11"/>
  <c r="F164" i="11" s="1"/>
  <c r="G164" i="11" a="1"/>
  <c r="G164" i="11" s="1"/>
  <c r="I163" i="11"/>
  <c r="F163" i="11" s="1"/>
  <c r="G163" i="11" a="1"/>
  <c r="G163" i="11" s="1"/>
  <c r="I162" i="11"/>
  <c r="G162" i="11" a="1"/>
  <c r="G162" i="11" s="1"/>
  <c r="I161" i="11"/>
  <c r="F161" i="11" s="1"/>
  <c r="G161" i="11" a="1"/>
  <c r="G161" i="11" s="1"/>
  <c r="I160" i="11"/>
  <c r="F160" i="11" s="1"/>
  <c r="G160" i="11" a="1"/>
  <c r="G160" i="11" s="1"/>
  <c r="I159" i="11"/>
  <c r="F159" i="11" s="1"/>
  <c r="G159" i="11" a="1"/>
  <c r="G159" i="11" s="1"/>
  <c r="H159" i="11" s="1"/>
  <c r="G158" i="11" a="1"/>
  <c r="G158" i="11" s="1"/>
  <c r="H158" i="11" s="1"/>
  <c r="I157" i="11"/>
  <c r="F157" i="11" s="1"/>
  <c r="G157" i="11" a="1"/>
  <c r="G157" i="11" s="1"/>
  <c r="I156" i="11"/>
  <c r="F156" i="11" s="1"/>
  <c r="G156" i="11" a="1"/>
  <c r="G156" i="11" s="1"/>
  <c r="I155" i="11"/>
  <c r="F155" i="11" s="1"/>
  <c r="G155" i="11" a="1"/>
  <c r="G155" i="11" s="1"/>
  <c r="I154" i="11"/>
  <c r="F154" i="11" s="1"/>
  <c r="G154" i="11" a="1"/>
  <c r="G154" i="11" s="1"/>
  <c r="I153" i="11"/>
  <c r="F153" i="11" s="1"/>
  <c r="G153" i="11" a="1"/>
  <c r="G153" i="11" s="1"/>
  <c r="I152" i="11"/>
  <c r="F152" i="11" s="1"/>
  <c r="G152" i="11" a="1"/>
  <c r="G152" i="11" s="1"/>
  <c r="H152" i="11" s="1"/>
  <c r="I151" i="11"/>
  <c r="F151" i="11" s="1"/>
  <c r="G151" i="11" a="1"/>
  <c r="G151" i="11" s="1"/>
  <c r="H151" i="11" s="1"/>
  <c r="I150" i="11"/>
  <c r="F150" i="11" s="1"/>
  <c r="G150" i="11" a="1"/>
  <c r="G150" i="11" s="1"/>
  <c r="I149" i="11"/>
  <c r="F149" i="11" s="1"/>
  <c r="G149" i="11" a="1"/>
  <c r="G149" i="11" s="1"/>
  <c r="I148" i="11"/>
  <c r="F148" i="11" s="1"/>
  <c r="G148" i="11" a="1"/>
  <c r="G148" i="11" s="1"/>
  <c r="I147" i="11"/>
  <c r="F147" i="11" s="1"/>
  <c r="G147" i="11" a="1"/>
  <c r="G147" i="11" s="1"/>
  <c r="I146" i="11"/>
  <c r="F146" i="11" s="1"/>
  <c r="G146" i="11" a="1"/>
  <c r="G146" i="11" s="1"/>
  <c r="I145" i="11"/>
  <c r="F145" i="11" s="1"/>
  <c r="G145" i="11" a="1"/>
  <c r="G145" i="11" s="1"/>
  <c r="H145" i="11" s="1"/>
  <c r="G144" i="11" a="1"/>
  <c r="G144" i="11" s="1"/>
  <c r="I143" i="11"/>
  <c r="F143" i="11" s="1"/>
  <c r="G143" i="11" a="1"/>
  <c r="G143" i="11" s="1"/>
  <c r="I142" i="11"/>
  <c r="F142" i="11" s="1"/>
  <c r="G142" i="11" a="1"/>
  <c r="G142" i="11" s="1"/>
  <c r="I141" i="11"/>
  <c r="F141" i="11" s="1"/>
  <c r="G141" i="11" a="1"/>
  <c r="G141" i="11" s="1"/>
  <c r="I140" i="11"/>
  <c r="F140" i="11" s="1"/>
  <c r="G140" i="11" a="1"/>
  <c r="G140" i="11" s="1"/>
  <c r="I139" i="11"/>
  <c r="F139" i="11" s="1"/>
  <c r="G139" i="11" a="1"/>
  <c r="G139" i="11" s="1"/>
  <c r="I138" i="11"/>
  <c r="F138" i="11" s="1"/>
  <c r="G138" i="11" a="1"/>
  <c r="G138" i="11" s="1"/>
  <c r="H138" i="11" s="1"/>
  <c r="I137" i="11"/>
  <c r="I144" i="11" s="1"/>
  <c r="F144" i="11" s="1"/>
  <c r="G137" i="11" a="1"/>
  <c r="G137" i="11" s="1"/>
  <c r="I136" i="11"/>
  <c r="F136" i="11" s="1"/>
  <c r="G136" i="11" a="1"/>
  <c r="G136" i="11" s="1"/>
  <c r="I135" i="11"/>
  <c r="F135" i="11" s="1"/>
  <c r="G135" i="11" a="1"/>
  <c r="G135" i="11" s="1"/>
  <c r="I134" i="11"/>
  <c r="F134" i="11" s="1"/>
  <c r="G134" i="11" a="1"/>
  <c r="G134" i="11" s="1"/>
  <c r="I133" i="11"/>
  <c r="G133" i="11" a="1"/>
  <c r="G133" i="11" s="1"/>
  <c r="I132" i="11"/>
  <c r="F132" i="11" s="1"/>
  <c r="G132" i="11" a="1"/>
  <c r="G132" i="11" s="1"/>
  <c r="I131" i="11"/>
  <c r="F131" i="11" s="1"/>
  <c r="G131" i="11" a="1"/>
  <c r="G131" i="11" s="1"/>
  <c r="H131" i="11" s="1"/>
  <c r="G130" i="11" a="1"/>
  <c r="G130" i="11" s="1"/>
  <c r="H130" i="11" s="1"/>
  <c r="I129" i="11"/>
  <c r="F129" i="11" s="1"/>
  <c r="G129" i="11" a="1"/>
  <c r="G129" i="11" s="1"/>
  <c r="I128" i="11"/>
  <c r="F128" i="11" s="1"/>
  <c r="G128" i="11" a="1"/>
  <c r="G128" i="11" s="1"/>
  <c r="I127" i="11"/>
  <c r="F127" i="11" s="1"/>
  <c r="G127" i="11" a="1"/>
  <c r="G127" i="11" s="1"/>
  <c r="I126" i="11"/>
  <c r="F126" i="11" s="1"/>
  <c r="G126" i="11" a="1"/>
  <c r="G126" i="11" s="1"/>
  <c r="I125" i="11"/>
  <c r="F125" i="11" s="1"/>
  <c r="G125" i="11" a="1"/>
  <c r="G125" i="11" s="1"/>
  <c r="I124" i="11"/>
  <c r="F124" i="11" s="1"/>
  <c r="G124" i="11" a="1"/>
  <c r="G124" i="11" s="1"/>
  <c r="H124" i="11" s="1"/>
  <c r="I123" i="11"/>
  <c r="I130" i="11" s="1"/>
  <c r="F130" i="11" s="1"/>
  <c r="G123" i="11" a="1"/>
  <c r="G123" i="11" s="1"/>
  <c r="H123" i="11" s="1"/>
  <c r="I122" i="11"/>
  <c r="F122" i="11" s="1"/>
  <c r="G122" i="11" a="1"/>
  <c r="G122" i="11" s="1"/>
  <c r="I121" i="11"/>
  <c r="F121" i="11" s="1"/>
  <c r="G121" i="11" a="1"/>
  <c r="G121" i="11" s="1"/>
  <c r="I120" i="11"/>
  <c r="F120" i="11" s="1"/>
  <c r="G120" i="11" a="1"/>
  <c r="G120" i="11" s="1"/>
  <c r="I119" i="11"/>
  <c r="F119" i="11" s="1"/>
  <c r="G119" i="11" a="1"/>
  <c r="G119" i="11" s="1"/>
  <c r="I118" i="11"/>
  <c r="F118" i="11" s="1"/>
  <c r="G118" i="11" a="1"/>
  <c r="G118" i="11" s="1"/>
  <c r="I117" i="11"/>
  <c r="F117" i="11" s="1"/>
  <c r="G117" i="11" a="1"/>
  <c r="G117" i="11" s="1"/>
  <c r="H117" i="11" s="1"/>
  <c r="G116" i="11" a="1"/>
  <c r="G116" i="11" s="1"/>
  <c r="I115" i="11"/>
  <c r="F115" i="11" s="1"/>
  <c r="G115" i="11" a="1"/>
  <c r="G115" i="11" s="1"/>
  <c r="I114" i="11"/>
  <c r="G114" i="11" a="1"/>
  <c r="G114" i="11" s="1"/>
  <c r="I113" i="11"/>
  <c r="F113" i="11" s="1"/>
  <c r="G113" i="11" a="1"/>
  <c r="G113" i="11" s="1"/>
  <c r="I112" i="11"/>
  <c r="F112" i="11" s="1"/>
  <c r="G112" i="11" a="1"/>
  <c r="G112" i="11" s="1"/>
  <c r="I111" i="11"/>
  <c r="F111" i="11" s="1"/>
  <c r="G111" i="11" a="1"/>
  <c r="G111" i="11" s="1"/>
  <c r="I110" i="11"/>
  <c r="F110" i="11" s="1"/>
  <c r="G110" i="11" a="1"/>
  <c r="G110" i="11" s="1"/>
  <c r="H110" i="11" s="1"/>
  <c r="I109" i="11"/>
  <c r="I116" i="11" s="1"/>
  <c r="F116" i="11" s="1"/>
  <c r="G109" i="11" a="1"/>
  <c r="G109" i="11" s="1"/>
  <c r="I108" i="11"/>
  <c r="F108" i="11" s="1"/>
  <c r="G108" i="11" a="1"/>
  <c r="G108" i="11" s="1"/>
  <c r="I107" i="11"/>
  <c r="F107" i="11" s="1"/>
  <c r="G107" i="11" a="1"/>
  <c r="G107" i="11" s="1"/>
  <c r="I106" i="11"/>
  <c r="F106" i="11" s="1"/>
  <c r="G106" i="11" a="1"/>
  <c r="G106" i="11" s="1"/>
  <c r="I105" i="11"/>
  <c r="F105" i="11" s="1"/>
  <c r="G105" i="11" a="1"/>
  <c r="G105" i="11" s="1"/>
  <c r="I104" i="11"/>
  <c r="F104" i="11" s="1"/>
  <c r="G104" i="11" a="1"/>
  <c r="G104" i="11" s="1"/>
  <c r="I103" i="11"/>
  <c r="F103" i="11" s="1"/>
  <c r="G103" i="11" a="1"/>
  <c r="G103" i="11" s="1"/>
  <c r="H103" i="11" s="1"/>
  <c r="G102" i="11" a="1"/>
  <c r="G102" i="11" s="1"/>
  <c r="I101" i="11"/>
  <c r="F101" i="11" s="1"/>
  <c r="G101" i="11" a="1"/>
  <c r="G101" i="11" s="1"/>
  <c r="I100" i="11"/>
  <c r="F100" i="11" s="1"/>
  <c r="G100" i="11" a="1"/>
  <c r="G100" i="11" s="1"/>
  <c r="I99" i="11"/>
  <c r="F99" i="11" s="1"/>
  <c r="G99" i="11" a="1"/>
  <c r="G99" i="11" s="1"/>
  <c r="I98" i="11"/>
  <c r="F98" i="11" s="1"/>
  <c r="G98" i="11" a="1"/>
  <c r="G98" i="11" s="1"/>
  <c r="I97" i="11"/>
  <c r="F97" i="11" s="1"/>
  <c r="G97" i="11" a="1"/>
  <c r="G97" i="11" s="1"/>
  <c r="I96" i="11"/>
  <c r="F96" i="11" s="1"/>
  <c r="G96" i="11" a="1"/>
  <c r="G96" i="11" s="1"/>
  <c r="H96" i="11" s="1"/>
  <c r="I95" i="11"/>
  <c r="I102" i="11" s="1"/>
  <c r="F102" i="11" s="1"/>
  <c r="G95" i="11" a="1"/>
  <c r="G95" i="11" s="1"/>
  <c r="I94" i="11"/>
  <c r="F94" i="11" s="1"/>
  <c r="G94" i="11" a="1"/>
  <c r="G94" i="11" s="1"/>
  <c r="I93" i="11"/>
  <c r="F93" i="11" s="1"/>
  <c r="G93" i="11" a="1"/>
  <c r="G93" i="11" s="1"/>
  <c r="I92" i="11"/>
  <c r="F92" i="11" s="1"/>
  <c r="G92" i="11" a="1"/>
  <c r="G92" i="11" s="1"/>
  <c r="I91" i="11"/>
  <c r="F91" i="11" s="1"/>
  <c r="G91" i="11" a="1"/>
  <c r="G91" i="11" s="1"/>
  <c r="I90" i="11"/>
  <c r="F90" i="11" s="1"/>
  <c r="G90" i="11" a="1"/>
  <c r="G90" i="11" s="1"/>
  <c r="I89" i="11"/>
  <c r="F89" i="11" s="1"/>
  <c r="G89" i="11" a="1"/>
  <c r="G89" i="11" s="1"/>
  <c r="H89" i="11" s="1"/>
  <c r="G88" i="11" a="1"/>
  <c r="G88" i="11" s="1"/>
  <c r="H88" i="11" s="1"/>
  <c r="I87" i="11"/>
  <c r="F87" i="11" s="1"/>
  <c r="G87" i="11" a="1"/>
  <c r="G87" i="11" s="1"/>
  <c r="I86" i="11"/>
  <c r="F86" i="11" s="1"/>
  <c r="G86" i="11" a="1"/>
  <c r="G86" i="11" s="1"/>
  <c r="I85" i="11"/>
  <c r="F85" i="11" s="1"/>
  <c r="G85" i="11" a="1"/>
  <c r="G85" i="11" s="1"/>
  <c r="I84" i="11"/>
  <c r="F84" i="11" s="1"/>
  <c r="G84" i="11" a="1"/>
  <c r="G84" i="11" s="1"/>
  <c r="I83" i="11"/>
  <c r="F83" i="11" s="1"/>
  <c r="G83" i="11" a="1"/>
  <c r="G83" i="11" s="1"/>
  <c r="I82" i="11"/>
  <c r="F82" i="11" s="1"/>
  <c r="G82" i="11" a="1"/>
  <c r="G82" i="11" s="1"/>
  <c r="H82" i="11" s="1"/>
  <c r="I81" i="11"/>
  <c r="F81" i="11" s="1"/>
  <c r="G81" i="11" a="1"/>
  <c r="G81" i="11" s="1"/>
  <c r="H81" i="11" s="1"/>
  <c r="I80" i="11"/>
  <c r="F80" i="11" s="1"/>
  <c r="G80" i="11" a="1"/>
  <c r="G80" i="11" s="1"/>
  <c r="I79" i="11"/>
  <c r="F79" i="11" s="1"/>
  <c r="G79" i="11" a="1"/>
  <c r="G79" i="11" s="1"/>
  <c r="I78" i="11"/>
  <c r="F78" i="11" s="1"/>
  <c r="G78" i="11" a="1"/>
  <c r="G78" i="11" s="1"/>
  <c r="I77" i="11"/>
  <c r="F77" i="11" s="1"/>
  <c r="G77" i="11" a="1"/>
  <c r="G77" i="11" s="1"/>
  <c r="I76" i="11"/>
  <c r="F76" i="11" s="1"/>
  <c r="G76" i="11" a="1"/>
  <c r="G76" i="11" s="1"/>
  <c r="I75" i="11"/>
  <c r="F75" i="11" s="1"/>
  <c r="G75" i="11" a="1"/>
  <c r="G75" i="11" s="1"/>
  <c r="H75" i="11" s="1"/>
  <c r="G74" i="11" a="1"/>
  <c r="G74" i="11" s="1"/>
  <c r="H74" i="11" s="1"/>
  <c r="I73" i="11"/>
  <c r="F73" i="11" s="1"/>
  <c r="G73" i="11" a="1"/>
  <c r="G73" i="11" s="1"/>
  <c r="H73" i="11" s="1"/>
  <c r="I72" i="11"/>
  <c r="F72" i="11" s="1"/>
  <c r="G72" i="11" a="1"/>
  <c r="G72" i="11" s="1"/>
  <c r="I71" i="11"/>
  <c r="F71" i="11" s="1"/>
  <c r="G71" i="11" a="1"/>
  <c r="G71" i="11" s="1"/>
  <c r="I70" i="11"/>
  <c r="F70" i="11" s="1"/>
  <c r="G70" i="11" a="1"/>
  <c r="G70" i="11" s="1"/>
  <c r="I69" i="11"/>
  <c r="F69" i="11" s="1"/>
  <c r="G69" i="11" a="1"/>
  <c r="G69" i="11" s="1"/>
  <c r="I68" i="11"/>
  <c r="F68" i="11" s="1"/>
  <c r="G68" i="11" a="1"/>
  <c r="G68" i="11" s="1"/>
  <c r="H68" i="11" s="1"/>
  <c r="I67" i="11"/>
  <c r="I74" i="11" s="1"/>
  <c r="F74" i="11" s="1"/>
  <c r="G67" i="11" a="1"/>
  <c r="G67" i="11" s="1"/>
  <c r="H67" i="11" s="1"/>
  <c r="I66" i="11"/>
  <c r="F66" i="11" s="1"/>
  <c r="G66" i="11" a="1"/>
  <c r="G66" i="11" s="1"/>
  <c r="H66" i="11" s="1"/>
  <c r="I65" i="11"/>
  <c r="F65" i="11" s="1"/>
  <c r="G65" i="11" a="1"/>
  <c r="G65" i="11" s="1"/>
  <c r="I64" i="11"/>
  <c r="G64" i="11" a="1"/>
  <c r="G64" i="11" s="1"/>
  <c r="I63" i="11"/>
  <c r="F63" i="11" s="1"/>
  <c r="G63" i="11" a="1"/>
  <c r="G63" i="11" s="1"/>
  <c r="I62" i="11"/>
  <c r="F62" i="11" s="1"/>
  <c r="G62" i="11" a="1"/>
  <c r="G62" i="11" s="1"/>
  <c r="I61" i="11"/>
  <c r="F61" i="11" s="1"/>
  <c r="G61" i="11" a="1"/>
  <c r="G61" i="11" s="1"/>
  <c r="H61" i="11" s="1"/>
  <c r="G60" i="11" a="1"/>
  <c r="G60" i="11" s="1"/>
  <c r="H60" i="11" s="1"/>
  <c r="I59" i="11"/>
  <c r="F59" i="11" s="1"/>
  <c r="G59" i="11" a="1"/>
  <c r="G59" i="11" s="1"/>
  <c r="H59" i="11" s="1"/>
  <c r="I58" i="11"/>
  <c r="F58" i="11" s="1"/>
  <c r="G58" i="11" a="1"/>
  <c r="G58" i="11" s="1"/>
  <c r="I57" i="11"/>
  <c r="F57" i="11" s="1"/>
  <c r="G57" i="11" a="1"/>
  <c r="G57" i="11" s="1"/>
  <c r="I56" i="11"/>
  <c r="F56" i="11" s="1"/>
  <c r="G56" i="11" a="1"/>
  <c r="G56" i="11" s="1"/>
  <c r="I55" i="11"/>
  <c r="F55" i="11" s="1"/>
  <c r="G55" i="11" a="1"/>
  <c r="G55" i="11" s="1"/>
  <c r="I54" i="11"/>
  <c r="F54" i="11" s="1"/>
  <c r="G54" i="11" a="1"/>
  <c r="G54" i="11" s="1"/>
  <c r="H54" i="11" s="1"/>
  <c r="I53" i="11"/>
  <c r="F53" i="11" s="1"/>
  <c r="G53" i="11" a="1"/>
  <c r="G53" i="11" s="1"/>
  <c r="H53" i="11" s="1"/>
  <c r="I52" i="11"/>
  <c r="F52" i="11" s="1"/>
  <c r="G52" i="11" a="1"/>
  <c r="G52" i="11" s="1"/>
  <c r="H52" i="11" s="1"/>
  <c r="I51" i="11"/>
  <c r="F51" i="11" s="1"/>
  <c r="G51" i="11" a="1"/>
  <c r="G51" i="11" s="1"/>
  <c r="I50" i="11"/>
  <c r="F50" i="11" s="1"/>
  <c r="G50" i="11" a="1"/>
  <c r="G50" i="11" s="1"/>
  <c r="I49" i="11"/>
  <c r="G49" i="11" a="1"/>
  <c r="G49" i="11" s="1"/>
  <c r="I48" i="11"/>
  <c r="F48" i="11" s="1"/>
  <c r="G48" i="11" a="1"/>
  <c r="G48" i="11" s="1"/>
  <c r="I47" i="11"/>
  <c r="F47" i="11" s="1"/>
  <c r="G47" i="11" a="1"/>
  <c r="G47" i="11" s="1"/>
  <c r="H47" i="11" s="1"/>
  <c r="G46" i="11" a="1"/>
  <c r="G46" i="11" s="1"/>
  <c r="H46" i="11" s="1"/>
  <c r="I45" i="11"/>
  <c r="F45" i="11" s="1"/>
  <c r="G45" i="11" a="1"/>
  <c r="G45" i="11" s="1"/>
  <c r="H45" i="11" s="1"/>
  <c r="I44" i="11"/>
  <c r="F44" i="11" s="1"/>
  <c r="G44" i="11" a="1"/>
  <c r="G44" i="11" s="1"/>
  <c r="H44" i="11" s="1"/>
  <c r="I43" i="11"/>
  <c r="F43" i="11" s="1"/>
  <c r="G43" i="11" a="1"/>
  <c r="G43" i="11" s="1"/>
  <c r="I42" i="11"/>
  <c r="F42" i="11" s="1"/>
  <c r="G42" i="11" a="1"/>
  <c r="G42" i="11" s="1"/>
  <c r="I41" i="11"/>
  <c r="F41" i="11" s="1"/>
  <c r="G41" i="11" a="1"/>
  <c r="G41" i="11" s="1"/>
  <c r="I40" i="11"/>
  <c r="F40" i="11" s="1"/>
  <c r="G40" i="11" a="1"/>
  <c r="G40" i="11" s="1"/>
  <c r="H40" i="11" s="1"/>
  <c r="I39" i="11"/>
  <c r="I46" i="11" s="1"/>
  <c r="F46" i="11" s="1"/>
  <c r="G39" i="11" a="1"/>
  <c r="G39" i="11" s="1"/>
  <c r="H39" i="11" s="1"/>
  <c r="I38" i="11"/>
  <c r="F38" i="11" s="1"/>
  <c r="G38" i="11" a="1"/>
  <c r="G38" i="11" s="1"/>
  <c r="H38" i="11" s="1"/>
  <c r="I37" i="11"/>
  <c r="F37" i="11" s="1"/>
  <c r="G37" i="11" a="1"/>
  <c r="G37" i="11" s="1"/>
  <c r="H37" i="11" s="1"/>
  <c r="I36" i="11"/>
  <c r="F36" i="11" s="1"/>
  <c r="G36" i="11" a="1"/>
  <c r="G36" i="11" s="1"/>
  <c r="I35" i="11"/>
  <c r="F35" i="11" s="1"/>
  <c r="G35" i="11" a="1"/>
  <c r="G35" i="11" s="1"/>
  <c r="I34" i="11"/>
  <c r="F34" i="11" s="1"/>
  <c r="G34" i="11" a="1"/>
  <c r="G34" i="11" s="1"/>
  <c r="I33" i="11"/>
  <c r="F33" i="11" s="1"/>
  <c r="G33" i="11" a="1"/>
  <c r="G33" i="11" s="1"/>
  <c r="H33" i="11" s="1"/>
  <c r="G32" i="11" a="1"/>
  <c r="G32" i="11" s="1"/>
  <c r="H32" i="11" s="1"/>
  <c r="I31" i="11"/>
  <c r="F31" i="11" s="1"/>
  <c r="G31" i="11" a="1"/>
  <c r="G31" i="11" s="1"/>
  <c r="H31" i="11" s="1"/>
  <c r="I30" i="11"/>
  <c r="F30" i="11" s="1"/>
  <c r="G30" i="11" a="1"/>
  <c r="G30" i="11" s="1"/>
  <c r="I29" i="11"/>
  <c r="F29" i="11" s="1"/>
  <c r="G29" i="11" a="1"/>
  <c r="G29" i="11" s="1"/>
  <c r="I28" i="11"/>
  <c r="F28" i="11" s="1"/>
  <c r="G28" i="11" a="1"/>
  <c r="G28" i="11" s="1"/>
  <c r="I27" i="11"/>
  <c r="F27" i="11" s="1"/>
  <c r="G27" i="11" a="1"/>
  <c r="G27" i="11" s="1"/>
  <c r="I26" i="11"/>
  <c r="F26" i="11" s="1"/>
  <c r="G26" i="11" a="1"/>
  <c r="G26" i="11" s="1"/>
  <c r="H26" i="11" s="1"/>
  <c r="I25" i="11"/>
  <c r="I32" i="11" s="1"/>
  <c r="F32" i="11" s="1"/>
  <c r="G25" i="11" a="1"/>
  <c r="G25" i="11" s="1"/>
  <c r="H25" i="11" s="1"/>
  <c r="I24" i="11"/>
  <c r="F24" i="11" s="1"/>
  <c r="G24" i="11" a="1"/>
  <c r="G24" i="11" s="1"/>
  <c r="H24" i="11" s="1"/>
  <c r="I23" i="11"/>
  <c r="F23" i="11" s="1"/>
  <c r="G23" i="11" a="1"/>
  <c r="G23" i="11" s="1"/>
  <c r="I22" i="11"/>
  <c r="F22" i="11" s="1"/>
  <c r="G22" i="11" a="1"/>
  <c r="G22" i="11" s="1"/>
  <c r="I21" i="11"/>
  <c r="F21" i="11" s="1"/>
  <c r="G21" i="11" a="1"/>
  <c r="G21" i="11" s="1"/>
  <c r="I20" i="11"/>
  <c r="G20" i="11" a="1"/>
  <c r="G20" i="11" s="1"/>
  <c r="M21" i="11" s="1"/>
  <c r="B18" i="11"/>
  <c r="N10" i="11"/>
  <c r="N9" i="11"/>
  <c r="AD7" i="11"/>
  <c r="AC7" i="11"/>
  <c r="AB7" i="11"/>
  <c r="AA7" i="11"/>
  <c r="Z7" i="11"/>
  <c r="Y7" i="11"/>
  <c r="X7" i="11"/>
  <c r="AD6" i="11"/>
  <c r="AC6" i="11"/>
  <c r="AB6" i="11"/>
  <c r="AA6" i="11"/>
  <c r="Z6" i="11"/>
  <c r="Y6" i="11"/>
  <c r="X6" i="11"/>
  <c r="N6" i="11"/>
  <c r="AD5" i="11"/>
  <c r="AC5" i="11"/>
  <c r="AB5" i="11"/>
  <c r="AA5" i="11"/>
  <c r="Z5" i="11"/>
  <c r="Y5" i="11"/>
  <c r="X5" i="11"/>
  <c r="AD4" i="11"/>
  <c r="AC4" i="11"/>
  <c r="AB4" i="11"/>
  <c r="AA4" i="11"/>
  <c r="Z4" i="11"/>
  <c r="Y4" i="11"/>
  <c r="X4" i="11"/>
  <c r="AO28" i="2"/>
  <c r="AO27" i="2"/>
  <c r="AO26" i="2"/>
  <c r="AO25" i="2"/>
  <c r="AO24" i="2"/>
  <c r="AO23" i="2"/>
  <c r="AO22" i="2"/>
  <c r="AO21" i="2"/>
  <c r="AO20" i="2"/>
  <c r="AQ19" i="2" a="1"/>
  <c r="AQ19" i="2" s="1"/>
  <c r="AO19" i="2"/>
  <c r="AH19" i="2" a="1"/>
  <c r="AH19" i="2" s="1"/>
  <c r="AF28" i="2"/>
  <c r="AF27" i="2"/>
  <c r="AF26" i="2"/>
  <c r="AF25" i="2"/>
  <c r="AF24" i="2"/>
  <c r="AF23" i="2"/>
  <c r="AF22" i="2"/>
  <c r="AF21" i="2"/>
  <c r="AF20" i="2"/>
  <c r="AF19" i="2"/>
  <c r="W28" i="2"/>
  <c r="W21" i="2"/>
  <c r="W22" i="2"/>
  <c r="W23" i="2"/>
  <c r="W24" i="2"/>
  <c r="W25" i="2"/>
  <c r="W26" i="2"/>
  <c r="W27" i="2"/>
  <c r="W20" i="2"/>
  <c r="W19" i="2"/>
  <c r="Y19" i="2" a="1"/>
  <c r="Y19" i="2" s="1"/>
  <c r="M10" i="2"/>
  <c r="F193" i="11" l="1"/>
  <c r="F25" i="11"/>
  <c r="Q28" i="11"/>
  <c r="F137" i="11"/>
  <c r="F215" i="11"/>
  <c r="I88" i="11"/>
  <c r="F88" i="11" s="1"/>
  <c r="Q30" i="11"/>
  <c r="I60" i="11"/>
  <c r="Q22" i="11" s="1"/>
  <c r="Q31" i="11"/>
  <c r="I158" i="11"/>
  <c r="F158" i="11" s="1"/>
  <c r="F67" i="11"/>
  <c r="F95" i="11"/>
  <c r="F109" i="11"/>
  <c r="Q26" i="11"/>
  <c r="F123" i="11"/>
  <c r="F133" i="11"/>
  <c r="F162" i="11"/>
  <c r="Q32" i="11"/>
  <c r="Q33" i="11"/>
  <c r="F39" i="11"/>
  <c r="F165" i="11"/>
  <c r="F179" i="11"/>
  <c r="AC8" i="11"/>
  <c r="Z8" i="11"/>
  <c r="AD8" i="11"/>
  <c r="Y8" i="11"/>
  <c r="AA8" i="11"/>
  <c r="X8" i="11"/>
  <c r="AB8" i="11"/>
  <c r="Q20" i="11"/>
  <c r="K20" i="11"/>
  <c r="F20" i="11"/>
  <c r="Q21" i="11"/>
  <c r="F49" i="11"/>
  <c r="Q23" i="11"/>
  <c r="F64" i="11"/>
  <c r="Q25" i="11"/>
  <c r="Q27" i="11"/>
  <c r="F114" i="11"/>
  <c r="I5" i="11" l="1"/>
  <c r="BH5" i="11" a="1"/>
  <c r="Q24" i="11"/>
  <c r="I6" i="11"/>
  <c r="I8" i="11" s="1"/>
  <c r="Q29" i="11"/>
  <c r="I7" i="11"/>
  <c r="F60" i="11"/>
  <c r="I4" i="11"/>
  <c r="J21" i="11"/>
  <c r="BH5" i="11" l="1"/>
  <c r="BH12" i="11"/>
  <c r="BH13" i="11"/>
  <c r="BH11" i="11"/>
  <c r="BH10" i="11"/>
  <c r="BH7" i="11"/>
  <c r="BH6" i="11"/>
  <c r="BH8" i="11"/>
  <c r="BH9" i="11"/>
  <c r="H8" i="2"/>
  <c r="P21" i="2"/>
  <c r="P22" i="2"/>
  <c r="P23" i="2"/>
  <c r="P24" i="2"/>
  <c r="P25" i="2"/>
  <c r="P26" i="2"/>
  <c r="P20" i="2"/>
  <c r="P19" i="2"/>
  <c r="B18" i="6"/>
  <c r="I207" i="6"/>
  <c r="I193" i="6"/>
  <c r="I200" i="6" s="1"/>
  <c r="I179" i="6"/>
  <c r="I186" i="6" s="1"/>
  <c r="I165" i="6"/>
  <c r="I172" i="6" s="1"/>
  <c r="I151" i="6"/>
  <c r="I158" i="6" s="1"/>
  <c r="I137" i="6"/>
  <c r="I144" i="6" s="1"/>
  <c r="I123" i="6"/>
  <c r="I130" i="6" s="1"/>
  <c r="I109" i="6"/>
  <c r="I116" i="6" s="1"/>
  <c r="I95" i="6"/>
  <c r="I102" i="6" s="1"/>
  <c r="I81" i="6"/>
  <c r="I88" i="6" s="1"/>
  <c r="I67" i="6"/>
  <c r="I74" i="6" s="1"/>
  <c r="I53" i="6"/>
  <c r="I60" i="6" s="1"/>
  <c r="I39" i="6"/>
  <c r="I46" i="6" s="1"/>
  <c r="I25" i="6"/>
  <c r="I32" i="6" s="1"/>
  <c r="G19" i="2" a="1"/>
  <c r="G19" i="2" s="1"/>
  <c r="G20" i="6" a="1"/>
  <c r="G20" i="6" s="1"/>
  <c r="M21" i="6" s="1"/>
  <c r="I5" i="2"/>
  <c r="I4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19" i="2"/>
  <c r="I33" i="6"/>
  <c r="I34" i="6"/>
  <c r="I35" i="6"/>
  <c r="I36" i="6"/>
  <c r="I37" i="6"/>
  <c r="I38" i="6"/>
  <c r="I40" i="6"/>
  <c r="I41" i="6"/>
  <c r="I42" i="6"/>
  <c r="I43" i="6"/>
  <c r="I44" i="6"/>
  <c r="I45" i="6"/>
  <c r="I47" i="6"/>
  <c r="I48" i="6"/>
  <c r="I49" i="6"/>
  <c r="I50" i="6"/>
  <c r="I51" i="6"/>
  <c r="I52" i="6"/>
  <c r="I54" i="6"/>
  <c r="I55" i="6"/>
  <c r="I56" i="6"/>
  <c r="I57" i="6"/>
  <c r="I58" i="6"/>
  <c r="I59" i="6"/>
  <c r="I61" i="6"/>
  <c r="I62" i="6"/>
  <c r="I63" i="6"/>
  <c r="I64" i="6"/>
  <c r="I65" i="6"/>
  <c r="I66" i="6"/>
  <c r="I68" i="6"/>
  <c r="I69" i="6"/>
  <c r="I70" i="6"/>
  <c r="I71" i="6"/>
  <c r="I72" i="6"/>
  <c r="I73" i="6"/>
  <c r="I75" i="6"/>
  <c r="I76" i="6"/>
  <c r="I77" i="6"/>
  <c r="I78" i="6"/>
  <c r="I79" i="6"/>
  <c r="I80" i="6"/>
  <c r="I82" i="6"/>
  <c r="I83" i="6"/>
  <c r="I84" i="6"/>
  <c r="I85" i="6"/>
  <c r="I86" i="6"/>
  <c r="I87" i="6"/>
  <c r="I89" i="6"/>
  <c r="I90" i="6"/>
  <c r="I91" i="6"/>
  <c r="I92" i="6"/>
  <c r="I93" i="6"/>
  <c r="I94" i="6"/>
  <c r="I96" i="6"/>
  <c r="I97" i="6"/>
  <c r="I98" i="6"/>
  <c r="I99" i="6"/>
  <c r="I100" i="6"/>
  <c r="I101" i="6"/>
  <c r="I103" i="6"/>
  <c r="I104" i="6"/>
  <c r="I105" i="6"/>
  <c r="I106" i="6"/>
  <c r="I107" i="6"/>
  <c r="I108" i="6"/>
  <c r="I110" i="6"/>
  <c r="I111" i="6"/>
  <c r="I112" i="6"/>
  <c r="I113" i="6"/>
  <c r="I114" i="6"/>
  <c r="I115" i="6"/>
  <c r="I117" i="6"/>
  <c r="I118" i="6"/>
  <c r="I119" i="6"/>
  <c r="I120" i="6"/>
  <c r="I121" i="6"/>
  <c r="I122" i="6"/>
  <c r="I124" i="6"/>
  <c r="I125" i="6"/>
  <c r="I126" i="6"/>
  <c r="I127" i="6"/>
  <c r="I128" i="6"/>
  <c r="I129" i="6"/>
  <c r="I131" i="6"/>
  <c r="I132" i="6"/>
  <c r="I133" i="6"/>
  <c r="I134" i="6"/>
  <c r="I135" i="6"/>
  <c r="I136" i="6"/>
  <c r="I138" i="6"/>
  <c r="I139" i="6"/>
  <c r="I140" i="6"/>
  <c r="I141" i="6"/>
  <c r="I142" i="6"/>
  <c r="I143" i="6"/>
  <c r="I145" i="6"/>
  <c r="I146" i="6"/>
  <c r="I147" i="6"/>
  <c r="I148" i="6"/>
  <c r="I149" i="6"/>
  <c r="I150" i="6"/>
  <c r="I152" i="6"/>
  <c r="I153" i="6"/>
  <c r="I154" i="6"/>
  <c r="I155" i="6"/>
  <c r="I156" i="6"/>
  <c r="I157" i="6"/>
  <c r="I159" i="6"/>
  <c r="I160" i="6"/>
  <c r="I161" i="6"/>
  <c r="I162" i="6"/>
  <c r="I163" i="6"/>
  <c r="I164" i="6"/>
  <c r="I166" i="6"/>
  <c r="I167" i="6"/>
  <c r="I168" i="6"/>
  <c r="I169" i="6"/>
  <c r="I170" i="6"/>
  <c r="I171" i="6"/>
  <c r="I173" i="6"/>
  <c r="I174" i="6"/>
  <c r="I175" i="6"/>
  <c r="I176" i="6"/>
  <c r="I177" i="6"/>
  <c r="I178" i="6"/>
  <c r="I180" i="6"/>
  <c r="I181" i="6"/>
  <c r="I182" i="6"/>
  <c r="I183" i="6"/>
  <c r="I184" i="6"/>
  <c r="I185" i="6"/>
  <c r="I187" i="6"/>
  <c r="I188" i="6"/>
  <c r="I189" i="6"/>
  <c r="I190" i="6"/>
  <c r="I191" i="6"/>
  <c r="I192" i="6"/>
  <c r="I194" i="6"/>
  <c r="I195" i="6"/>
  <c r="I196" i="6"/>
  <c r="I197" i="6"/>
  <c r="I198" i="6"/>
  <c r="I199" i="6"/>
  <c r="I201" i="6"/>
  <c r="I202" i="6"/>
  <c r="I203" i="6"/>
  <c r="I204" i="6"/>
  <c r="I205" i="6"/>
  <c r="I206" i="6"/>
  <c r="I208" i="6"/>
  <c r="I209" i="6"/>
  <c r="I210" i="6"/>
  <c r="I211" i="6"/>
  <c r="I212" i="6"/>
  <c r="I213" i="6"/>
  <c r="I215" i="6"/>
  <c r="I9" i="6" s="1"/>
  <c r="I26" i="6"/>
  <c r="I27" i="6"/>
  <c r="I28" i="6"/>
  <c r="I29" i="6"/>
  <c r="I30" i="6"/>
  <c r="I31" i="6"/>
  <c r="I24" i="6"/>
  <c r="I21" i="6"/>
  <c r="I22" i="6"/>
  <c r="I23" i="6"/>
  <c r="I20" i="6"/>
  <c r="R33" i="6" l="1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I5" i="6"/>
  <c r="I7" i="6"/>
  <c r="I4" i="6"/>
  <c r="I6" i="6"/>
  <c r="J34" i="1" l="1"/>
  <c r="R34" i="6"/>
  <c r="R35" i="6" s="1"/>
  <c r="J32" i="1" s="1"/>
  <c r="I8" i="6"/>
  <c r="F21" i="6" l="1"/>
  <c r="F22" i="6"/>
  <c r="F23" i="6"/>
  <c r="F24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G215" i="6" a="1"/>
  <c r="G215" i="6" s="1"/>
  <c r="H215" i="6" s="1"/>
  <c r="G214" i="6" a="1"/>
  <c r="G214" i="6" s="1"/>
  <c r="G213" i="6" a="1"/>
  <c r="G213" i="6" s="1"/>
  <c r="G212" i="6" a="1"/>
  <c r="G212" i="6" s="1"/>
  <c r="G211" i="6" a="1"/>
  <c r="G211" i="6" s="1"/>
  <c r="G210" i="6" a="1"/>
  <c r="G210" i="6" s="1"/>
  <c r="G209" i="6" a="1"/>
  <c r="G209" i="6" s="1"/>
  <c r="G208" i="6" a="1"/>
  <c r="G208" i="6" s="1"/>
  <c r="H208" i="6" s="1"/>
  <c r="G207" i="6" a="1"/>
  <c r="G207" i="6" s="1"/>
  <c r="G206" i="6" a="1"/>
  <c r="G206" i="6" s="1"/>
  <c r="G205" i="6" a="1"/>
  <c r="G205" i="6" s="1"/>
  <c r="G204" i="6" a="1"/>
  <c r="G204" i="6" s="1"/>
  <c r="G203" i="6" a="1"/>
  <c r="G203" i="6" s="1"/>
  <c r="G202" i="6" a="1"/>
  <c r="G202" i="6" s="1"/>
  <c r="G201" i="6" a="1"/>
  <c r="G201" i="6" s="1"/>
  <c r="H201" i="6" s="1"/>
  <c r="G200" i="6" a="1"/>
  <c r="G200" i="6" s="1"/>
  <c r="G199" i="6" a="1"/>
  <c r="G199" i="6" s="1"/>
  <c r="G198" i="6" a="1"/>
  <c r="G198" i="6" s="1"/>
  <c r="G197" i="6" a="1"/>
  <c r="G197" i="6" s="1"/>
  <c r="G196" i="6" a="1"/>
  <c r="G196" i="6" s="1"/>
  <c r="G195" i="6" a="1"/>
  <c r="G195" i="6" s="1"/>
  <c r="G194" i="6" a="1"/>
  <c r="G194" i="6" s="1"/>
  <c r="H194" i="6" s="1"/>
  <c r="G193" i="6" a="1"/>
  <c r="G193" i="6" s="1"/>
  <c r="G192" i="6" a="1"/>
  <c r="G192" i="6" s="1"/>
  <c r="G191" i="6" a="1"/>
  <c r="G191" i="6" s="1"/>
  <c r="G190" i="6" a="1"/>
  <c r="G190" i="6" s="1"/>
  <c r="G189" i="6" a="1"/>
  <c r="G189" i="6" s="1"/>
  <c r="G188" i="6" a="1"/>
  <c r="G188" i="6" s="1"/>
  <c r="G187" i="6" a="1"/>
  <c r="G187" i="6" s="1"/>
  <c r="H187" i="6" s="1"/>
  <c r="G186" i="6" a="1"/>
  <c r="G186" i="6" s="1"/>
  <c r="G185" i="6" a="1"/>
  <c r="G185" i="6" s="1"/>
  <c r="G184" i="6" a="1"/>
  <c r="G184" i="6" s="1"/>
  <c r="G183" i="6" a="1"/>
  <c r="G183" i="6" s="1"/>
  <c r="G182" i="6" a="1"/>
  <c r="G182" i="6" s="1"/>
  <c r="G181" i="6" a="1"/>
  <c r="G181" i="6" s="1"/>
  <c r="G180" i="6" a="1"/>
  <c r="G180" i="6" s="1"/>
  <c r="H180" i="6" s="1"/>
  <c r="G179" i="6" a="1"/>
  <c r="G179" i="6" s="1"/>
  <c r="G178" i="6" a="1"/>
  <c r="G178" i="6" s="1"/>
  <c r="G177" i="6" a="1"/>
  <c r="G177" i="6" s="1"/>
  <c r="G176" i="6" a="1"/>
  <c r="G176" i="6" s="1"/>
  <c r="G175" i="6" a="1"/>
  <c r="G175" i="6" s="1"/>
  <c r="G174" i="6" a="1"/>
  <c r="G174" i="6" s="1"/>
  <c r="G173" i="6" a="1"/>
  <c r="G173" i="6" s="1"/>
  <c r="H173" i="6" s="1"/>
  <c r="G172" i="6" a="1"/>
  <c r="G172" i="6" s="1"/>
  <c r="H172" i="6" s="1"/>
  <c r="G171" i="6" a="1"/>
  <c r="G171" i="6" s="1"/>
  <c r="G170" i="6" a="1"/>
  <c r="G170" i="6" s="1"/>
  <c r="G169" i="6" a="1"/>
  <c r="G169" i="6" s="1"/>
  <c r="G168" i="6" a="1"/>
  <c r="G168" i="6" s="1"/>
  <c r="G167" i="6" a="1"/>
  <c r="G167" i="6" s="1"/>
  <c r="G166" i="6" a="1"/>
  <c r="G166" i="6" s="1"/>
  <c r="H166" i="6" s="1"/>
  <c r="G165" i="6" a="1"/>
  <c r="G165" i="6" s="1"/>
  <c r="H165" i="6" s="1"/>
  <c r="G164" i="6" a="1"/>
  <c r="G164" i="6" s="1"/>
  <c r="G163" i="6" a="1"/>
  <c r="G163" i="6" s="1"/>
  <c r="G162" i="6" a="1"/>
  <c r="G162" i="6" s="1"/>
  <c r="G161" i="6" a="1"/>
  <c r="G161" i="6" s="1"/>
  <c r="G160" i="6" a="1"/>
  <c r="G160" i="6" s="1"/>
  <c r="G159" i="6" a="1"/>
  <c r="G159" i="6" s="1"/>
  <c r="H159" i="6" s="1"/>
  <c r="G158" i="6" a="1"/>
  <c r="G158" i="6" s="1"/>
  <c r="H158" i="6" s="1"/>
  <c r="G157" i="6" a="1"/>
  <c r="G157" i="6" s="1"/>
  <c r="G156" i="6" a="1"/>
  <c r="G156" i="6" s="1"/>
  <c r="G155" i="6" a="1"/>
  <c r="G155" i="6" s="1"/>
  <c r="G154" i="6" a="1"/>
  <c r="G154" i="6" s="1"/>
  <c r="G153" i="6" a="1"/>
  <c r="G153" i="6" s="1"/>
  <c r="G152" i="6" a="1"/>
  <c r="G152" i="6" s="1"/>
  <c r="H152" i="6" s="1"/>
  <c r="G151" i="6" a="1"/>
  <c r="G151" i="6" s="1"/>
  <c r="H151" i="6" s="1"/>
  <c r="G150" i="6" a="1"/>
  <c r="G150" i="6" s="1"/>
  <c r="G149" i="6" a="1"/>
  <c r="G149" i="6" s="1"/>
  <c r="G148" i="6" a="1"/>
  <c r="G148" i="6" s="1"/>
  <c r="G147" i="6" a="1"/>
  <c r="G147" i="6" s="1"/>
  <c r="G146" i="6" a="1"/>
  <c r="G146" i="6" s="1"/>
  <c r="G145" i="6" a="1"/>
  <c r="G145" i="6" s="1"/>
  <c r="H145" i="6" s="1"/>
  <c r="G144" i="6" a="1"/>
  <c r="G144" i="6" s="1"/>
  <c r="H144" i="6" s="1"/>
  <c r="G143" i="6" a="1"/>
  <c r="G143" i="6" s="1"/>
  <c r="G142" i="6" a="1"/>
  <c r="G142" i="6" s="1"/>
  <c r="G141" i="6" a="1"/>
  <c r="G141" i="6" s="1"/>
  <c r="G140" i="6" a="1"/>
  <c r="G140" i="6" s="1"/>
  <c r="G139" i="6" a="1"/>
  <c r="G139" i="6" s="1"/>
  <c r="G138" i="6" a="1"/>
  <c r="G138" i="6" s="1"/>
  <c r="H138" i="6" s="1"/>
  <c r="G137" i="6" a="1"/>
  <c r="G137" i="6" s="1"/>
  <c r="H137" i="6" s="1"/>
  <c r="G136" i="6" a="1"/>
  <c r="G136" i="6" s="1"/>
  <c r="G135" i="6" a="1"/>
  <c r="G135" i="6" s="1"/>
  <c r="G134" i="6" a="1"/>
  <c r="G134" i="6" s="1"/>
  <c r="G133" i="6" a="1"/>
  <c r="G133" i="6" s="1"/>
  <c r="G132" i="6" a="1"/>
  <c r="G132" i="6" s="1"/>
  <c r="G131" i="6" a="1"/>
  <c r="G131" i="6" s="1"/>
  <c r="H131" i="6" s="1"/>
  <c r="G130" i="6" a="1"/>
  <c r="G130" i="6" s="1"/>
  <c r="H130" i="6" s="1"/>
  <c r="G129" i="6" a="1"/>
  <c r="G129" i="6" s="1"/>
  <c r="G128" i="6" a="1"/>
  <c r="G128" i="6" s="1"/>
  <c r="G127" i="6" a="1"/>
  <c r="G127" i="6" s="1"/>
  <c r="G126" i="6" a="1"/>
  <c r="G126" i="6" s="1"/>
  <c r="G125" i="6" a="1"/>
  <c r="G125" i="6" s="1"/>
  <c r="G124" i="6" a="1"/>
  <c r="G124" i="6" s="1"/>
  <c r="H124" i="6" s="1"/>
  <c r="G123" i="6" a="1"/>
  <c r="G123" i="6" s="1"/>
  <c r="H123" i="6" s="1"/>
  <c r="G122" i="6" a="1"/>
  <c r="G122" i="6" s="1"/>
  <c r="G121" i="6" a="1"/>
  <c r="G121" i="6" s="1"/>
  <c r="G120" i="6" a="1"/>
  <c r="G120" i="6" s="1"/>
  <c r="G119" i="6" a="1"/>
  <c r="G119" i="6" s="1"/>
  <c r="G118" i="6" a="1"/>
  <c r="G118" i="6" s="1"/>
  <c r="G117" i="6" a="1"/>
  <c r="G117" i="6" s="1"/>
  <c r="H117" i="6" s="1"/>
  <c r="G116" i="6" a="1"/>
  <c r="G116" i="6" s="1"/>
  <c r="H116" i="6" s="1"/>
  <c r="G115" i="6" a="1"/>
  <c r="G115" i="6" s="1"/>
  <c r="G114" i="6" a="1"/>
  <c r="G114" i="6" s="1"/>
  <c r="G113" i="6" a="1"/>
  <c r="G113" i="6" s="1"/>
  <c r="G112" i="6" a="1"/>
  <c r="G112" i="6" s="1"/>
  <c r="G111" i="6" a="1"/>
  <c r="G111" i="6" s="1"/>
  <c r="G110" i="6" a="1"/>
  <c r="G110" i="6" s="1"/>
  <c r="H110" i="6" s="1"/>
  <c r="G109" i="6" a="1"/>
  <c r="G109" i="6" s="1"/>
  <c r="H109" i="6" s="1"/>
  <c r="G108" i="6" a="1"/>
  <c r="G108" i="6" s="1"/>
  <c r="G107" i="6" a="1"/>
  <c r="G107" i="6" s="1"/>
  <c r="G106" i="6" a="1"/>
  <c r="G106" i="6" s="1"/>
  <c r="G105" i="6" a="1"/>
  <c r="G105" i="6" s="1"/>
  <c r="G104" i="6" a="1"/>
  <c r="G104" i="6" s="1"/>
  <c r="G103" i="6" a="1"/>
  <c r="G103" i="6" s="1"/>
  <c r="H103" i="6" s="1"/>
  <c r="G102" i="6" a="1"/>
  <c r="G102" i="6" s="1"/>
  <c r="H102" i="6" s="1"/>
  <c r="G101" i="6" a="1"/>
  <c r="G101" i="6" s="1"/>
  <c r="G100" i="6" a="1"/>
  <c r="G100" i="6" s="1"/>
  <c r="G99" i="6" a="1"/>
  <c r="G99" i="6" s="1"/>
  <c r="G98" i="6" a="1"/>
  <c r="G98" i="6" s="1"/>
  <c r="G97" i="6" a="1"/>
  <c r="G97" i="6" s="1"/>
  <c r="G96" i="6" a="1"/>
  <c r="G96" i="6" s="1"/>
  <c r="H96" i="6" s="1"/>
  <c r="G95" i="6" a="1"/>
  <c r="G95" i="6" s="1"/>
  <c r="H95" i="6" s="1"/>
  <c r="G94" i="6" a="1"/>
  <c r="G94" i="6" s="1"/>
  <c r="G93" i="6" a="1"/>
  <c r="G93" i="6" s="1"/>
  <c r="G92" i="6" a="1"/>
  <c r="G92" i="6" s="1"/>
  <c r="G91" i="6" a="1"/>
  <c r="G91" i="6" s="1"/>
  <c r="G90" i="6" a="1"/>
  <c r="G90" i="6" s="1"/>
  <c r="G89" i="6" a="1"/>
  <c r="G89" i="6" s="1"/>
  <c r="H89" i="6" s="1"/>
  <c r="G88" i="6" a="1"/>
  <c r="G88" i="6" s="1"/>
  <c r="H88" i="6" s="1"/>
  <c r="G87" i="6" a="1"/>
  <c r="G87" i="6" s="1"/>
  <c r="G86" i="6" a="1"/>
  <c r="G86" i="6" s="1"/>
  <c r="G85" i="6" a="1"/>
  <c r="G85" i="6" s="1"/>
  <c r="G84" i="6" a="1"/>
  <c r="G84" i="6" s="1"/>
  <c r="G83" i="6" a="1"/>
  <c r="G83" i="6" s="1"/>
  <c r="G82" i="6" a="1"/>
  <c r="G82" i="6" s="1"/>
  <c r="H82" i="6" s="1"/>
  <c r="G81" i="6" a="1"/>
  <c r="G81" i="6" s="1"/>
  <c r="H81" i="6" s="1"/>
  <c r="G80" i="6" a="1"/>
  <c r="G80" i="6" s="1"/>
  <c r="G79" i="6" a="1"/>
  <c r="G79" i="6" s="1"/>
  <c r="G78" i="6" a="1"/>
  <c r="G78" i="6" s="1"/>
  <c r="G77" i="6" a="1"/>
  <c r="G77" i="6" s="1"/>
  <c r="G76" i="6" a="1"/>
  <c r="G76" i="6" s="1"/>
  <c r="G75" i="6" a="1"/>
  <c r="G75" i="6" s="1"/>
  <c r="H75" i="6" s="1"/>
  <c r="G74" i="6" a="1"/>
  <c r="G74" i="6" s="1"/>
  <c r="H74" i="6" s="1"/>
  <c r="G73" i="6" a="1"/>
  <c r="G73" i="6" s="1"/>
  <c r="H73" i="6" s="1"/>
  <c r="G72" i="6" a="1"/>
  <c r="G72" i="6" s="1"/>
  <c r="G71" i="6" a="1"/>
  <c r="G71" i="6" s="1"/>
  <c r="G70" i="6" a="1"/>
  <c r="G70" i="6" s="1"/>
  <c r="G69" i="6" a="1"/>
  <c r="G69" i="6" s="1"/>
  <c r="G68" i="6" a="1"/>
  <c r="G68" i="6" s="1"/>
  <c r="H68" i="6" s="1"/>
  <c r="G67" i="6" a="1"/>
  <c r="G67" i="6" s="1"/>
  <c r="H67" i="6" s="1"/>
  <c r="G66" i="6" a="1"/>
  <c r="G66" i="6" s="1"/>
  <c r="H66" i="6" s="1"/>
  <c r="G65" i="6" a="1"/>
  <c r="G65" i="6" s="1"/>
  <c r="G64" i="6" a="1"/>
  <c r="G64" i="6" s="1"/>
  <c r="G63" i="6" a="1"/>
  <c r="G63" i="6" s="1"/>
  <c r="G62" i="6" a="1"/>
  <c r="G62" i="6" s="1"/>
  <c r="G61" i="6" a="1"/>
  <c r="G61" i="6" s="1"/>
  <c r="H61" i="6" s="1"/>
  <c r="G60" i="6" a="1"/>
  <c r="G60" i="6" s="1"/>
  <c r="H60" i="6" s="1"/>
  <c r="G59" i="6" a="1"/>
  <c r="G59" i="6" s="1"/>
  <c r="H59" i="6" s="1"/>
  <c r="G58" i="6" a="1"/>
  <c r="G58" i="6" s="1"/>
  <c r="G57" i="6" a="1"/>
  <c r="G57" i="6" s="1"/>
  <c r="G56" i="6" a="1"/>
  <c r="G56" i="6" s="1"/>
  <c r="G55" i="6" a="1"/>
  <c r="G55" i="6" s="1"/>
  <c r="G54" i="6" a="1"/>
  <c r="G54" i="6" s="1"/>
  <c r="H54" i="6" s="1"/>
  <c r="G53" i="6" a="1"/>
  <c r="G53" i="6" s="1"/>
  <c r="H53" i="6" s="1"/>
  <c r="G52" i="6" a="1"/>
  <c r="G52" i="6" s="1"/>
  <c r="H52" i="6" s="1"/>
  <c r="G51" i="6" a="1"/>
  <c r="G51" i="6" s="1"/>
  <c r="G50" i="6" a="1"/>
  <c r="G50" i="6" s="1"/>
  <c r="G49" i="6" a="1"/>
  <c r="G49" i="6" s="1"/>
  <c r="G48" i="6" a="1"/>
  <c r="G48" i="6" s="1"/>
  <c r="G47" i="6" a="1"/>
  <c r="G47" i="6" s="1"/>
  <c r="H47" i="6" s="1"/>
  <c r="G46" i="6" a="1"/>
  <c r="G46" i="6" s="1"/>
  <c r="H46" i="6" s="1"/>
  <c r="G45" i="6" a="1"/>
  <c r="G45" i="6" s="1"/>
  <c r="H45" i="6" s="1"/>
  <c r="G44" i="6" a="1"/>
  <c r="G44" i="6" s="1"/>
  <c r="G43" i="6" a="1"/>
  <c r="G43" i="6" s="1"/>
  <c r="G42" i="6" a="1"/>
  <c r="G42" i="6" s="1"/>
  <c r="G41" i="6" a="1"/>
  <c r="G41" i="6" s="1"/>
  <c r="G40" i="6" a="1"/>
  <c r="G40" i="6" s="1"/>
  <c r="H40" i="6" s="1"/>
  <c r="G39" i="6" a="1"/>
  <c r="G39" i="6" s="1"/>
  <c r="H39" i="6" s="1"/>
  <c r="G38" i="6" a="1"/>
  <c r="G38" i="6" s="1"/>
  <c r="H38" i="6" s="1"/>
  <c r="G37" i="6" a="1"/>
  <c r="G37" i="6" s="1"/>
  <c r="G36" i="6" a="1"/>
  <c r="G36" i="6" s="1"/>
  <c r="G35" i="6" a="1"/>
  <c r="G35" i="6" s="1"/>
  <c r="G34" i="6" a="1"/>
  <c r="G34" i="6" s="1"/>
  <c r="G33" i="6" a="1"/>
  <c r="G33" i="6" s="1"/>
  <c r="H33" i="6" s="1"/>
  <c r="G32" i="6" a="1"/>
  <c r="G32" i="6" s="1"/>
  <c r="H32" i="6" s="1"/>
  <c r="G31" i="6" a="1"/>
  <c r="G31" i="6" s="1"/>
  <c r="H31" i="6" s="1"/>
  <c r="G30" i="6" a="1"/>
  <c r="G30" i="6" s="1"/>
  <c r="G29" i="6" a="1"/>
  <c r="G29" i="6" s="1"/>
  <c r="G28" i="6" a="1"/>
  <c r="G28" i="6" s="1"/>
  <c r="G27" i="6" a="1"/>
  <c r="G27" i="6" s="1"/>
  <c r="G26" i="6" a="1"/>
  <c r="G26" i="6" s="1"/>
  <c r="H26" i="6" s="1"/>
  <c r="G25" i="6" a="1"/>
  <c r="G25" i="6" s="1"/>
  <c r="H25" i="6" s="1"/>
  <c r="G24" i="6" a="1"/>
  <c r="G24" i="6" s="1"/>
  <c r="H24" i="6" s="1"/>
  <c r="G23" i="6" a="1"/>
  <c r="G23" i="6" s="1"/>
  <c r="G22" i="6" a="1"/>
  <c r="G22" i="6" s="1"/>
  <c r="G21" i="6" a="1"/>
  <c r="G21" i="6" s="1"/>
  <c r="H5" i="2"/>
  <c r="H4" i="2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G51" i="2" a="1"/>
  <c r="G51" i="2" s="1"/>
  <c r="G52" i="2" a="1"/>
  <c r="G52" i="2" s="1"/>
  <c r="G53" i="2" a="1"/>
  <c r="G53" i="2" s="1"/>
  <c r="G54" i="2" a="1"/>
  <c r="G54" i="2" s="1"/>
  <c r="G55" i="2" a="1"/>
  <c r="G55" i="2" s="1"/>
  <c r="G56" i="2" a="1"/>
  <c r="G56" i="2" s="1"/>
  <c r="G57" i="2" a="1"/>
  <c r="G57" i="2" s="1"/>
  <c r="G58" i="2" a="1"/>
  <c r="G58" i="2" s="1"/>
  <c r="G59" i="2" a="1"/>
  <c r="G59" i="2" s="1"/>
  <c r="G60" i="2" a="1"/>
  <c r="G60" i="2" s="1"/>
  <c r="G61" i="2" a="1"/>
  <c r="G61" i="2" s="1"/>
  <c r="G62" i="2" a="1"/>
  <c r="G62" i="2" s="1"/>
  <c r="G63" i="2" a="1"/>
  <c r="G63" i="2" s="1"/>
  <c r="G64" i="2" a="1"/>
  <c r="G64" i="2" s="1"/>
  <c r="G65" i="2" a="1"/>
  <c r="G65" i="2" s="1"/>
  <c r="G66" i="2" a="1"/>
  <c r="G66" i="2" s="1"/>
  <c r="G67" i="2" a="1"/>
  <c r="G67" i="2" s="1"/>
  <c r="G68" i="2" a="1"/>
  <c r="G68" i="2" s="1"/>
  <c r="G69" i="2" a="1"/>
  <c r="G69" i="2" s="1"/>
  <c r="G70" i="2" a="1"/>
  <c r="G70" i="2" s="1"/>
  <c r="G71" i="2" a="1"/>
  <c r="G71" i="2" s="1"/>
  <c r="G72" i="2" a="1"/>
  <c r="G72" i="2" s="1"/>
  <c r="G73" i="2" a="1"/>
  <c r="G73" i="2" s="1"/>
  <c r="G74" i="2" a="1"/>
  <c r="G74" i="2" s="1"/>
  <c r="G75" i="2" a="1"/>
  <c r="G75" i="2" s="1"/>
  <c r="G76" i="2" a="1"/>
  <c r="G76" i="2" s="1"/>
  <c r="G77" i="2" a="1"/>
  <c r="G77" i="2" s="1"/>
  <c r="G78" i="2" a="1"/>
  <c r="G78" i="2" s="1"/>
  <c r="G79" i="2" a="1"/>
  <c r="G79" i="2" s="1"/>
  <c r="G80" i="2" a="1"/>
  <c r="G80" i="2" s="1"/>
  <c r="G81" i="2" a="1"/>
  <c r="G81" i="2" s="1"/>
  <c r="G82" i="2" a="1"/>
  <c r="G82" i="2" s="1"/>
  <c r="G83" i="2" a="1"/>
  <c r="G83" i="2" s="1"/>
  <c r="G84" i="2" a="1"/>
  <c r="G84" i="2" s="1"/>
  <c r="G85" i="2" a="1"/>
  <c r="G85" i="2" s="1"/>
  <c r="G86" i="2" a="1"/>
  <c r="G86" i="2" s="1"/>
  <c r="G87" i="2" a="1"/>
  <c r="G87" i="2" s="1"/>
  <c r="G88" i="2" a="1"/>
  <c r="G88" i="2" s="1"/>
  <c r="G89" i="2" a="1"/>
  <c r="G89" i="2" s="1"/>
  <c r="G90" i="2" a="1"/>
  <c r="G90" i="2" s="1"/>
  <c r="G91" i="2" a="1"/>
  <c r="G91" i="2" s="1"/>
  <c r="G92" i="2" a="1"/>
  <c r="G92" i="2" s="1"/>
  <c r="G93" i="2" a="1"/>
  <c r="G93" i="2" s="1"/>
  <c r="G94" i="2" a="1"/>
  <c r="G94" i="2" s="1"/>
  <c r="G95" i="2" a="1"/>
  <c r="G95" i="2" s="1"/>
  <c r="G96" i="2" a="1"/>
  <c r="G96" i="2" s="1"/>
  <c r="G97" i="2" a="1"/>
  <c r="G97" i="2" s="1"/>
  <c r="G98" i="2" a="1"/>
  <c r="G98" i="2" s="1"/>
  <c r="G99" i="2" a="1"/>
  <c r="G99" i="2" s="1"/>
  <c r="G100" i="2" a="1"/>
  <c r="G100" i="2" s="1"/>
  <c r="G101" i="2" a="1"/>
  <c r="G101" i="2" s="1"/>
  <c r="G102" i="2" a="1"/>
  <c r="G102" i="2" s="1"/>
  <c r="G103" i="2" a="1"/>
  <c r="G103" i="2" s="1"/>
  <c r="G104" i="2" a="1"/>
  <c r="G104" i="2" s="1"/>
  <c r="G105" i="2" a="1"/>
  <c r="G105" i="2" s="1"/>
  <c r="G106" i="2" a="1"/>
  <c r="G106" i="2" s="1"/>
  <c r="G107" i="2" a="1"/>
  <c r="G107" i="2" s="1"/>
  <c r="G108" i="2" a="1"/>
  <c r="G108" i="2" s="1"/>
  <c r="G109" i="2" a="1"/>
  <c r="G109" i="2" s="1"/>
  <c r="G110" i="2" a="1"/>
  <c r="G110" i="2" s="1"/>
  <c r="G111" i="2" a="1"/>
  <c r="G111" i="2" s="1"/>
  <c r="G112" i="2" a="1"/>
  <c r="G112" i="2" s="1"/>
  <c r="G113" i="2" a="1"/>
  <c r="G113" i="2" s="1"/>
  <c r="G114" i="2" a="1"/>
  <c r="G114" i="2" s="1"/>
  <c r="G115" i="2" a="1"/>
  <c r="G115" i="2" s="1"/>
  <c r="G116" i="2" a="1"/>
  <c r="G116" i="2" s="1"/>
  <c r="G117" i="2" a="1"/>
  <c r="G117" i="2" s="1"/>
  <c r="G118" i="2" a="1"/>
  <c r="G118" i="2" s="1"/>
  <c r="G119" i="2" a="1"/>
  <c r="G119" i="2" s="1"/>
  <c r="G120" i="2" a="1"/>
  <c r="G120" i="2" s="1"/>
  <c r="G121" i="2" a="1"/>
  <c r="G121" i="2" s="1"/>
  <c r="G122" i="2" a="1"/>
  <c r="G122" i="2" s="1"/>
  <c r="G123" i="2" a="1"/>
  <c r="G123" i="2" s="1"/>
  <c r="G124" i="2" a="1"/>
  <c r="G124" i="2" s="1"/>
  <c r="G125" i="2" a="1"/>
  <c r="G125" i="2" s="1"/>
  <c r="G126" i="2" a="1"/>
  <c r="G126" i="2" s="1"/>
  <c r="G127" i="2" a="1"/>
  <c r="G127" i="2" s="1"/>
  <c r="G128" i="2" a="1"/>
  <c r="G128" i="2" s="1"/>
  <c r="G129" i="2" a="1"/>
  <c r="G129" i="2" s="1"/>
  <c r="G130" i="2" a="1"/>
  <c r="G130" i="2" s="1"/>
  <c r="G131" i="2" a="1"/>
  <c r="G131" i="2" s="1"/>
  <c r="G132" i="2" a="1"/>
  <c r="G132" i="2" s="1"/>
  <c r="G133" i="2" a="1"/>
  <c r="G133" i="2" s="1"/>
  <c r="G134" i="2" a="1"/>
  <c r="G134" i="2" s="1"/>
  <c r="G135" i="2" a="1"/>
  <c r="G135" i="2" s="1"/>
  <c r="G136" i="2" a="1"/>
  <c r="G136" i="2" s="1"/>
  <c r="G137" i="2" a="1"/>
  <c r="G137" i="2" s="1"/>
  <c r="G138" i="2" a="1"/>
  <c r="G138" i="2" s="1"/>
  <c r="G139" i="2" a="1"/>
  <c r="G139" i="2" s="1"/>
  <c r="G140" i="2" a="1"/>
  <c r="G140" i="2" s="1"/>
  <c r="G141" i="2" a="1"/>
  <c r="G141" i="2" s="1"/>
  <c r="G142" i="2" a="1"/>
  <c r="G142" i="2" s="1"/>
  <c r="G143" i="2" a="1"/>
  <c r="G143" i="2" s="1"/>
  <c r="G144" i="2" a="1"/>
  <c r="G144" i="2" s="1"/>
  <c r="G145" i="2" a="1"/>
  <c r="G145" i="2" s="1"/>
  <c r="G146" i="2" a="1"/>
  <c r="G146" i="2" s="1"/>
  <c r="G147" i="2" a="1"/>
  <c r="G147" i="2" s="1"/>
  <c r="G148" i="2" a="1"/>
  <c r="G148" i="2" s="1"/>
  <c r="G149" i="2" a="1"/>
  <c r="G149" i="2" s="1"/>
  <c r="G150" i="2" a="1"/>
  <c r="G150" i="2" s="1"/>
  <c r="G151" i="2" a="1"/>
  <c r="G151" i="2" s="1"/>
  <c r="G152" i="2" a="1"/>
  <c r="G152" i="2" s="1"/>
  <c r="G153" i="2" a="1"/>
  <c r="G153" i="2" s="1"/>
  <c r="G154" i="2" a="1"/>
  <c r="G154" i="2" s="1"/>
  <c r="G155" i="2" a="1"/>
  <c r="G155" i="2" s="1"/>
  <c r="G156" i="2" a="1"/>
  <c r="G156" i="2" s="1"/>
  <c r="G157" i="2" a="1"/>
  <c r="G157" i="2" s="1"/>
  <c r="G158" i="2" a="1"/>
  <c r="G158" i="2" s="1"/>
  <c r="G159" i="2" a="1"/>
  <c r="G159" i="2" s="1"/>
  <c r="G160" i="2" a="1"/>
  <c r="G160" i="2" s="1"/>
  <c r="G161" i="2" a="1"/>
  <c r="G161" i="2" s="1"/>
  <c r="G162" i="2" a="1"/>
  <c r="G162" i="2" s="1"/>
  <c r="G163" i="2" a="1"/>
  <c r="G163" i="2" s="1"/>
  <c r="G164" i="2" a="1"/>
  <c r="G164" i="2" s="1"/>
  <c r="G165" i="2" a="1"/>
  <c r="G165" i="2" s="1"/>
  <c r="G166" i="2" a="1"/>
  <c r="G166" i="2" s="1"/>
  <c r="G167" i="2" a="1"/>
  <c r="G167" i="2" s="1"/>
  <c r="G168" i="2" a="1"/>
  <c r="G168" i="2" s="1"/>
  <c r="G169" i="2" a="1"/>
  <c r="G169" i="2" s="1"/>
  <c r="G170" i="2" a="1"/>
  <c r="G170" i="2" s="1"/>
  <c r="G171" i="2" a="1"/>
  <c r="G171" i="2" s="1"/>
  <c r="G172" i="2" a="1"/>
  <c r="G172" i="2" s="1"/>
  <c r="G173" i="2" a="1"/>
  <c r="G173" i="2" s="1"/>
  <c r="G174" i="2" a="1"/>
  <c r="G174" i="2" s="1"/>
  <c r="G175" i="2" a="1"/>
  <c r="G175" i="2" s="1"/>
  <c r="G176" i="2" a="1"/>
  <c r="G176" i="2" s="1"/>
  <c r="G177" i="2" a="1"/>
  <c r="G177" i="2" s="1"/>
  <c r="G178" i="2" a="1"/>
  <c r="G178" i="2" s="1"/>
  <c r="G179" i="2" a="1"/>
  <c r="G179" i="2" s="1"/>
  <c r="G180" i="2" a="1"/>
  <c r="G180" i="2" s="1"/>
  <c r="G181" i="2" a="1"/>
  <c r="G181" i="2" s="1"/>
  <c r="G182" i="2" a="1"/>
  <c r="G182" i="2" s="1"/>
  <c r="G183" i="2" a="1"/>
  <c r="G183" i="2" s="1"/>
  <c r="G184" i="2" a="1"/>
  <c r="G184" i="2" s="1"/>
  <c r="G185" i="2" a="1"/>
  <c r="G185" i="2" s="1"/>
  <c r="G186" i="2" a="1"/>
  <c r="G186" i="2" s="1"/>
  <c r="G187" i="2" a="1"/>
  <c r="G187" i="2" s="1"/>
  <c r="G188" i="2" a="1"/>
  <c r="G188" i="2" s="1"/>
  <c r="G189" i="2" a="1"/>
  <c r="G189" i="2" s="1"/>
  <c r="G190" i="2" a="1"/>
  <c r="G190" i="2" s="1"/>
  <c r="G191" i="2" a="1"/>
  <c r="G191" i="2" s="1"/>
  <c r="G192" i="2" a="1"/>
  <c r="G192" i="2" s="1"/>
  <c r="G193" i="2" a="1"/>
  <c r="G193" i="2" s="1"/>
  <c r="G194" i="2" a="1"/>
  <c r="G194" i="2" s="1"/>
  <c r="G195" i="2" a="1"/>
  <c r="G195" i="2" s="1"/>
  <c r="G196" i="2" a="1"/>
  <c r="G196" i="2" s="1"/>
  <c r="G197" i="2" a="1"/>
  <c r="G197" i="2" s="1"/>
  <c r="G198" i="2" a="1"/>
  <c r="G198" i="2" s="1"/>
  <c r="G199" i="2" a="1"/>
  <c r="G199" i="2" s="1"/>
  <c r="G200" i="2" a="1"/>
  <c r="G200" i="2" s="1"/>
  <c r="G201" i="2" a="1"/>
  <c r="G201" i="2" s="1"/>
  <c r="G202" i="2" a="1"/>
  <c r="G202" i="2" s="1"/>
  <c r="G203" i="2" a="1"/>
  <c r="G203" i="2" s="1"/>
  <c r="G204" i="2" a="1"/>
  <c r="G204" i="2" s="1"/>
  <c r="G205" i="2" a="1"/>
  <c r="G205" i="2" s="1"/>
  <c r="G206" i="2" a="1"/>
  <c r="G206" i="2" s="1"/>
  <c r="G207" i="2" a="1"/>
  <c r="G207" i="2" s="1"/>
  <c r="G208" i="2" a="1"/>
  <c r="G208" i="2" s="1"/>
  <c r="G209" i="2" a="1"/>
  <c r="G209" i="2" s="1"/>
  <c r="G210" i="2" a="1"/>
  <c r="G210" i="2" s="1"/>
  <c r="G211" i="2" a="1"/>
  <c r="G211" i="2" s="1"/>
  <c r="G212" i="2" a="1"/>
  <c r="G212" i="2" s="1"/>
  <c r="G213" i="2" a="1"/>
  <c r="G213" i="2" s="1"/>
  <c r="G214" i="2" a="1"/>
  <c r="G214" i="2" s="1"/>
  <c r="K19" i="2"/>
  <c r="J20" i="2" l="1"/>
  <c r="K20" i="2" s="1"/>
  <c r="L20" i="2" l="1"/>
  <c r="J21" i="2"/>
  <c r="K21" i="2" l="1"/>
  <c r="L21" i="2"/>
  <c r="M21" i="2" s="1"/>
  <c r="M20" i="2"/>
  <c r="J22" i="2" l="1"/>
  <c r="K22" i="2" l="1"/>
  <c r="L22" i="2"/>
  <c r="M22" i="2" l="1"/>
  <c r="J23" i="2"/>
  <c r="K23" i="2" l="1"/>
  <c r="L23" i="2"/>
  <c r="M23" i="2" l="1"/>
  <c r="J24" i="2"/>
  <c r="K24" i="2" l="1"/>
  <c r="L24" i="2"/>
  <c r="M24" i="2" l="1"/>
  <c r="J25" i="2"/>
  <c r="K25" i="2" l="1"/>
  <c r="L25" i="2"/>
  <c r="M25" i="2" l="1"/>
  <c r="J26" i="2"/>
  <c r="K26" i="2" l="1"/>
  <c r="J27" i="2" s="1"/>
  <c r="L26" i="2"/>
  <c r="M26" i="2" l="1"/>
  <c r="K27" i="2"/>
  <c r="J28" i="2" s="1"/>
  <c r="L27" i="2"/>
  <c r="M27" i="2" s="1"/>
  <c r="K28" i="2" l="1"/>
  <c r="J29" i="2" s="1"/>
  <c r="L28" i="2"/>
  <c r="M28" i="2" s="1"/>
  <c r="K29" i="2" l="1"/>
  <c r="J30" i="2" s="1"/>
  <c r="L29" i="2"/>
  <c r="M29" i="2" l="1"/>
  <c r="K30" i="2"/>
  <c r="J31" i="2" s="1"/>
  <c r="L30" i="2"/>
  <c r="M30" i="2" s="1"/>
  <c r="K31" i="2" l="1"/>
  <c r="J32" i="2" s="1"/>
  <c r="L31" i="2"/>
  <c r="M31" i="2" s="1"/>
  <c r="K32" i="2" l="1"/>
  <c r="J33" i="2" s="1"/>
  <c r="L32" i="2"/>
  <c r="M32" i="2" s="1"/>
  <c r="K33" i="2" l="1"/>
  <c r="J34" i="2" s="1"/>
  <c r="L33" i="2"/>
  <c r="M33" i="2" s="1"/>
  <c r="K34" i="2" l="1"/>
  <c r="J35" i="2" s="1"/>
  <c r="L34" i="2"/>
  <c r="M34" i="2" s="1"/>
  <c r="K35" i="2" l="1"/>
  <c r="J36" i="2" s="1"/>
  <c r="L35" i="2"/>
  <c r="M35" i="2" s="1"/>
  <c r="K36" i="2" l="1"/>
  <c r="J37" i="2" s="1"/>
  <c r="L36" i="2"/>
  <c r="M36" i="2" s="1"/>
  <c r="K37" i="2" l="1"/>
  <c r="J38" i="2" s="1"/>
  <c r="L37" i="2"/>
  <c r="M37" i="2" s="1"/>
  <c r="K38" i="2" l="1"/>
  <c r="J39" i="2" s="1"/>
  <c r="L38" i="2"/>
  <c r="M38" i="2" s="1"/>
  <c r="K39" i="2" l="1"/>
  <c r="J40" i="2" s="1"/>
  <c r="L39" i="2"/>
  <c r="M39" i="2" s="1"/>
  <c r="K40" i="2" l="1"/>
  <c r="J41" i="2" s="1"/>
  <c r="L40" i="2"/>
  <c r="M40" i="2" s="1"/>
  <c r="K41" i="2" l="1"/>
  <c r="J42" i="2" s="1"/>
  <c r="L41" i="2"/>
  <c r="M41" i="2" s="1"/>
  <c r="K42" i="2" l="1"/>
  <c r="J43" i="2" s="1"/>
  <c r="L42" i="2"/>
  <c r="M42" i="2" s="1"/>
  <c r="K43" i="2" l="1"/>
  <c r="J44" i="2" s="1"/>
  <c r="L43" i="2"/>
  <c r="M43" i="2" s="1"/>
  <c r="K44" i="2" l="1"/>
  <c r="J45" i="2" s="1"/>
  <c r="L44" i="2"/>
  <c r="M44" i="2" s="1"/>
  <c r="K45" i="2" l="1"/>
  <c r="J46" i="2" s="1"/>
  <c r="L45" i="2"/>
  <c r="M45" i="2" s="1"/>
  <c r="K46" i="2" l="1"/>
  <c r="J47" i="2" s="1"/>
  <c r="L46" i="2"/>
  <c r="M46" i="2" s="1"/>
  <c r="K47" i="2" l="1"/>
  <c r="J48" i="2" s="1"/>
  <c r="L47" i="2"/>
  <c r="M47" i="2" s="1"/>
  <c r="K48" i="2" l="1"/>
  <c r="J49" i="2" s="1"/>
  <c r="L48" i="2"/>
  <c r="M48" i="2" s="1"/>
  <c r="K49" i="2" l="1"/>
  <c r="J50" i="2" s="1"/>
  <c r="L49" i="2"/>
  <c r="M49" i="2" s="1"/>
  <c r="K50" i="2" l="1"/>
  <c r="J51" i="2" s="1"/>
  <c r="L50" i="2"/>
  <c r="M50" i="2" s="1"/>
  <c r="K51" i="2" l="1"/>
  <c r="J52" i="2" s="1"/>
  <c r="L51" i="2"/>
  <c r="M51" i="2" s="1"/>
  <c r="K52" i="2" l="1"/>
  <c r="J53" i="2" s="1"/>
  <c r="L52" i="2"/>
  <c r="M52" i="2" s="1"/>
  <c r="K53" i="2" l="1"/>
  <c r="J54" i="2" s="1"/>
  <c r="L53" i="2"/>
  <c r="M53" i="2" s="1"/>
  <c r="K54" i="2" l="1"/>
  <c r="J55" i="2" s="1"/>
  <c r="L54" i="2"/>
  <c r="M54" i="2" s="1"/>
  <c r="K55" i="2" l="1"/>
  <c r="J56" i="2" s="1"/>
  <c r="L55" i="2"/>
  <c r="M55" i="2" s="1"/>
  <c r="K56" i="2" l="1"/>
  <c r="J57" i="2" s="1"/>
  <c r="L56" i="2"/>
  <c r="M56" i="2" s="1"/>
  <c r="K57" i="2" l="1"/>
  <c r="J58" i="2" s="1"/>
  <c r="L57" i="2"/>
  <c r="M57" i="2" s="1"/>
  <c r="K58" i="2" l="1"/>
  <c r="J59" i="2" s="1"/>
  <c r="L58" i="2"/>
  <c r="M58" i="2" s="1"/>
  <c r="K59" i="2" l="1"/>
  <c r="J60" i="2" s="1"/>
  <c r="L59" i="2"/>
  <c r="M59" i="2" s="1"/>
  <c r="K60" i="2" l="1"/>
  <c r="J61" i="2" s="1"/>
  <c r="L60" i="2"/>
  <c r="M60" i="2" s="1"/>
  <c r="K61" i="2" l="1"/>
  <c r="J62" i="2" s="1"/>
  <c r="L61" i="2"/>
  <c r="M61" i="2" s="1"/>
  <c r="K62" i="2" l="1"/>
  <c r="J63" i="2" s="1"/>
  <c r="L62" i="2"/>
  <c r="M62" i="2" s="1"/>
  <c r="K63" i="2" l="1"/>
  <c r="J64" i="2" s="1"/>
  <c r="L63" i="2"/>
  <c r="M63" i="2" s="1"/>
  <c r="K64" i="2" l="1"/>
  <c r="J65" i="2" s="1"/>
  <c r="L64" i="2"/>
  <c r="M64" i="2" s="1"/>
  <c r="K65" i="2" l="1"/>
  <c r="J66" i="2" s="1"/>
  <c r="L65" i="2"/>
  <c r="M65" i="2" s="1"/>
  <c r="K66" i="2" l="1"/>
  <c r="J67" i="2" s="1"/>
  <c r="L66" i="2"/>
  <c r="M66" i="2" s="1"/>
  <c r="K67" i="2" l="1"/>
  <c r="J68" i="2" s="1"/>
  <c r="L67" i="2"/>
  <c r="M67" i="2" s="1"/>
  <c r="K68" i="2" l="1"/>
  <c r="J69" i="2" s="1"/>
  <c r="L68" i="2"/>
  <c r="M68" i="2" s="1"/>
  <c r="K69" i="2" l="1"/>
  <c r="J70" i="2" s="1"/>
  <c r="L69" i="2"/>
  <c r="M69" i="2" s="1"/>
  <c r="K70" i="2" l="1"/>
  <c r="J71" i="2" s="1"/>
  <c r="L70" i="2"/>
  <c r="M70" i="2" s="1"/>
  <c r="K71" i="2" l="1"/>
  <c r="J72" i="2" s="1"/>
  <c r="L71" i="2"/>
  <c r="M71" i="2" s="1"/>
  <c r="K72" i="2" l="1"/>
  <c r="J73" i="2" s="1"/>
  <c r="L72" i="2"/>
  <c r="M72" i="2" s="1"/>
  <c r="K73" i="2" l="1"/>
  <c r="J74" i="2" s="1"/>
  <c r="L73" i="2"/>
  <c r="M73" i="2" s="1"/>
  <c r="K74" i="2" l="1"/>
  <c r="J75" i="2" s="1"/>
  <c r="L74" i="2"/>
  <c r="M74" i="2" s="1"/>
  <c r="K75" i="2" l="1"/>
  <c r="J76" i="2" s="1"/>
  <c r="L75" i="2"/>
  <c r="M75" i="2" s="1"/>
  <c r="K76" i="2" l="1"/>
  <c r="J77" i="2" s="1"/>
  <c r="L76" i="2"/>
  <c r="M76" i="2" s="1"/>
  <c r="K77" i="2" l="1"/>
  <c r="J78" i="2" s="1"/>
  <c r="L77" i="2"/>
  <c r="M77" i="2" s="1"/>
  <c r="K78" i="2" l="1"/>
  <c r="J79" i="2" s="1"/>
  <c r="L78" i="2"/>
  <c r="M78" i="2" s="1"/>
  <c r="K79" i="2" l="1"/>
  <c r="J80" i="2" s="1"/>
  <c r="L79" i="2"/>
  <c r="M79" i="2" s="1"/>
  <c r="K80" i="2" l="1"/>
  <c r="J81" i="2" s="1"/>
  <c r="L80" i="2"/>
  <c r="M80" i="2" s="1"/>
  <c r="K81" i="2" l="1"/>
  <c r="J82" i="2" s="1"/>
  <c r="L81" i="2"/>
  <c r="M81" i="2" s="1"/>
  <c r="K82" i="2" l="1"/>
  <c r="J83" i="2" s="1"/>
  <c r="L82" i="2"/>
  <c r="M82" i="2" s="1"/>
  <c r="K83" i="2" l="1"/>
  <c r="J84" i="2" s="1"/>
  <c r="L83" i="2"/>
  <c r="M83" i="2" s="1"/>
  <c r="K84" i="2" l="1"/>
  <c r="J85" i="2" s="1"/>
  <c r="L84" i="2"/>
  <c r="M84" i="2" s="1"/>
  <c r="K85" i="2" l="1"/>
  <c r="J86" i="2" s="1"/>
  <c r="L85" i="2"/>
  <c r="M85" i="2" s="1"/>
  <c r="K86" i="2" l="1"/>
  <c r="J87" i="2" s="1"/>
  <c r="L86" i="2"/>
  <c r="M86" i="2" s="1"/>
  <c r="K87" i="2" l="1"/>
  <c r="J88" i="2" s="1"/>
  <c r="L87" i="2"/>
  <c r="M87" i="2" s="1"/>
  <c r="K88" i="2" l="1"/>
  <c r="J89" i="2" s="1"/>
  <c r="L88" i="2"/>
  <c r="M88" i="2" s="1"/>
  <c r="K89" i="2" l="1"/>
  <c r="J90" i="2" s="1"/>
  <c r="L89" i="2"/>
  <c r="M89" i="2" s="1"/>
  <c r="K90" i="2" l="1"/>
  <c r="J91" i="2" s="1"/>
  <c r="L90" i="2"/>
  <c r="M90" i="2" s="1"/>
  <c r="K91" i="2" l="1"/>
  <c r="J92" i="2" s="1"/>
  <c r="L91" i="2"/>
  <c r="M91" i="2" s="1"/>
  <c r="K92" i="2" l="1"/>
  <c r="J93" i="2" s="1"/>
  <c r="L92" i="2"/>
  <c r="M92" i="2" s="1"/>
  <c r="K93" i="2" l="1"/>
  <c r="J94" i="2" s="1"/>
  <c r="L93" i="2"/>
  <c r="M93" i="2" s="1"/>
  <c r="K94" i="2" l="1"/>
  <c r="J95" i="2" s="1"/>
  <c r="L94" i="2"/>
  <c r="M94" i="2" s="1"/>
  <c r="K95" i="2" l="1"/>
  <c r="J96" i="2" s="1"/>
  <c r="L95" i="2"/>
  <c r="M95" i="2" s="1"/>
  <c r="K96" i="2" l="1"/>
  <c r="J97" i="2" s="1"/>
  <c r="L96" i="2"/>
  <c r="M96" i="2" s="1"/>
  <c r="K97" i="2" l="1"/>
  <c r="J98" i="2" s="1"/>
  <c r="L97" i="2"/>
  <c r="M97" i="2" s="1"/>
  <c r="K98" i="2" l="1"/>
  <c r="J99" i="2" s="1"/>
  <c r="L98" i="2"/>
  <c r="M98" i="2" s="1"/>
  <c r="K99" i="2" l="1"/>
  <c r="J100" i="2" s="1"/>
  <c r="L99" i="2"/>
  <c r="M99" i="2" s="1"/>
  <c r="K100" i="2" l="1"/>
  <c r="J101" i="2" s="1"/>
  <c r="L100" i="2"/>
  <c r="M100" i="2" s="1"/>
  <c r="K101" i="2" l="1"/>
  <c r="J102" i="2" s="1"/>
  <c r="L101" i="2"/>
  <c r="M101" i="2" s="1"/>
  <c r="K102" i="2" l="1"/>
  <c r="J103" i="2" s="1"/>
  <c r="L102" i="2"/>
  <c r="M102" i="2" s="1"/>
  <c r="K103" i="2" l="1"/>
  <c r="J104" i="2" s="1"/>
  <c r="L103" i="2"/>
  <c r="M103" i="2" s="1"/>
  <c r="K104" i="2" l="1"/>
  <c r="J105" i="2" s="1"/>
  <c r="L104" i="2"/>
  <c r="M104" i="2" s="1"/>
  <c r="K105" i="2" l="1"/>
  <c r="J106" i="2" s="1"/>
  <c r="L105" i="2"/>
  <c r="M105" i="2" s="1"/>
  <c r="K106" i="2" l="1"/>
  <c r="J107" i="2" s="1"/>
  <c r="L106" i="2"/>
  <c r="M106" i="2" s="1"/>
  <c r="K107" i="2" l="1"/>
  <c r="J108" i="2" s="1"/>
  <c r="L107" i="2"/>
  <c r="M107" i="2" s="1"/>
  <c r="K108" i="2" l="1"/>
  <c r="J109" i="2" s="1"/>
  <c r="L108" i="2"/>
  <c r="M108" i="2" s="1"/>
  <c r="K109" i="2" l="1"/>
  <c r="J110" i="2" s="1"/>
  <c r="L109" i="2"/>
  <c r="M109" i="2" s="1"/>
  <c r="K110" i="2" l="1"/>
  <c r="J111" i="2" s="1"/>
  <c r="L110" i="2"/>
  <c r="M110" i="2" s="1"/>
  <c r="K111" i="2" l="1"/>
  <c r="J112" i="2" s="1"/>
  <c r="L111" i="2"/>
  <c r="M111" i="2" s="1"/>
  <c r="K112" i="2" l="1"/>
  <c r="J113" i="2" s="1"/>
  <c r="L112" i="2"/>
  <c r="M112" i="2" s="1"/>
  <c r="K113" i="2" l="1"/>
  <c r="J114" i="2" s="1"/>
  <c r="L113" i="2"/>
  <c r="M113" i="2" s="1"/>
  <c r="K114" i="2" l="1"/>
  <c r="J115" i="2" s="1"/>
  <c r="L114" i="2"/>
  <c r="M114" i="2" s="1"/>
  <c r="K115" i="2" l="1"/>
  <c r="J116" i="2" s="1"/>
  <c r="L115" i="2"/>
  <c r="M115" i="2" s="1"/>
  <c r="K116" i="2" l="1"/>
  <c r="J117" i="2" s="1"/>
  <c r="L116" i="2"/>
  <c r="M116" i="2" s="1"/>
  <c r="K117" i="2" l="1"/>
  <c r="J118" i="2" s="1"/>
  <c r="L117" i="2"/>
  <c r="M117" i="2" s="1"/>
  <c r="K118" i="2" l="1"/>
  <c r="J119" i="2" s="1"/>
  <c r="L118" i="2"/>
  <c r="M118" i="2" s="1"/>
  <c r="K119" i="2" l="1"/>
  <c r="J120" i="2" s="1"/>
  <c r="L119" i="2"/>
  <c r="M119" i="2" s="1"/>
  <c r="K120" i="2" l="1"/>
  <c r="J121" i="2" s="1"/>
  <c r="L120" i="2"/>
  <c r="M120" i="2" s="1"/>
  <c r="K121" i="2" l="1"/>
  <c r="J122" i="2" s="1"/>
  <c r="L121" i="2"/>
  <c r="M121" i="2" s="1"/>
  <c r="K122" i="2" l="1"/>
  <c r="J123" i="2" s="1"/>
  <c r="L122" i="2"/>
  <c r="M122" i="2" s="1"/>
  <c r="K123" i="2" l="1"/>
  <c r="J124" i="2" s="1"/>
  <c r="L123" i="2"/>
  <c r="M123" i="2" s="1"/>
  <c r="K124" i="2" l="1"/>
  <c r="J125" i="2" s="1"/>
  <c r="L124" i="2"/>
  <c r="M124" i="2" s="1"/>
  <c r="K125" i="2" l="1"/>
  <c r="J126" i="2" s="1"/>
  <c r="L125" i="2"/>
  <c r="M125" i="2" s="1"/>
  <c r="K126" i="2" l="1"/>
  <c r="J127" i="2" s="1"/>
  <c r="L126" i="2"/>
  <c r="M126" i="2" s="1"/>
  <c r="K127" i="2" l="1"/>
  <c r="J128" i="2" s="1"/>
  <c r="L127" i="2"/>
  <c r="M127" i="2" s="1"/>
  <c r="K128" i="2" l="1"/>
  <c r="J129" i="2" s="1"/>
  <c r="L128" i="2"/>
  <c r="M128" i="2" s="1"/>
  <c r="K129" i="2" l="1"/>
  <c r="J130" i="2" s="1"/>
  <c r="L129" i="2"/>
  <c r="M129" i="2" s="1"/>
  <c r="K130" i="2" l="1"/>
  <c r="J131" i="2" s="1"/>
  <c r="L130" i="2"/>
  <c r="M130" i="2" s="1"/>
  <c r="K131" i="2" l="1"/>
  <c r="J132" i="2" s="1"/>
  <c r="L131" i="2"/>
  <c r="M131" i="2" s="1"/>
  <c r="K132" i="2" l="1"/>
  <c r="J133" i="2" s="1"/>
  <c r="L132" i="2"/>
  <c r="M132" i="2" s="1"/>
  <c r="K133" i="2" l="1"/>
  <c r="J134" i="2" s="1"/>
  <c r="L133" i="2"/>
  <c r="M133" i="2" s="1"/>
  <c r="K134" i="2" l="1"/>
  <c r="J135" i="2" s="1"/>
  <c r="L134" i="2"/>
  <c r="M134" i="2" s="1"/>
  <c r="K135" i="2" l="1"/>
  <c r="J136" i="2" s="1"/>
  <c r="L135" i="2"/>
  <c r="M135" i="2" s="1"/>
  <c r="K136" i="2" l="1"/>
  <c r="J137" i="2" s="1"/>
  <c r="L136" i="2"/>
  <c r="M136" i="2" s="1"/>
  <c r="K137" i="2" l="1"/>
  <c r="J138" i="2" s="1"/>
  <c r="L137" i="2"/>
  <c r="M137" i="2" s="1"/>
  <c r="K138" i="2" l="1"/>
  <c r="J139" i="2" s="1"/>
  <c r="L138" i="2"/>
  <c r="M138" i="2" s="1"/>
  <c r="K139" i="2" l="1"/>
  <c r="J140" i="2" s="1"/>
  <c r="L139" i="2"/>
  <c r="M139" i="2" s="1"/>
  <c r="K140" i="2" l="1"/>
  <c r="J141" i="2" s="1"/>
  <c r="L140" i="2"/>
  <c r="M140" i="2" s="1"/>
  <c r="K141" i="2" l="1"/>
  <c r="J142" i="2" s="1"/>
  <c r="L141" i="2"/>
  <c r="M141" i="2" s="1"/>
  <c r="K142" i="2" l="1"/>
  <c r="J143" i="2" s="1"/>
  <c r="L142" i="2"/>
  <c r="M142" i="2" s="1"/>
  <c r="K143" i="2" l="1"/>
  <c r="J144" i="2" s="1"/>
  <c r="L143" i="2"/>
  <c r="M143" i="2" s="1"/>
  <c r="K144" i="2" l="1"/>
  <c r="J145" i="2" s="1"/>
  <c r="L144" i="2"/>
  <c r="M144" i="2" s="1"/>
  <c r="K145" i="2" l="1"/>
  <c r="J146" i="2" s="1"/>
  <c r="L145" i="2"/>
  <c r="M145" i="2" s="1"/>
  <c r="K146" i="2" l="1"/>
  <c r="J147" i="2" s="1"/>
  <c r="L146" i="2"/>
  <c r="M146" i="2" s="1"/>
  <c r="K147" i="2" l="1"/>
  <c r="J148" i="2" s="1"/>
  <c r="L147" i="2"/>
  <c r="M147" i="2" s="1"/>
  <c r="K148" i="2" l="1"/>
  <c r="J149" i="2" s="1"/>
  <c r="L148" i="2"/>
  <c r="M148" i="2" s="1"/>
  <c r="K149" i="2" l="1"/>
  <c r="J150" i="2" s="1"/>
  <c r="L149" i="2"/>
  <c r="M149" i="2" s="1"/>
  <c r="K150" i="2" l="1"/>
  <c r="J151" i="2" s="1"/>
  <c r="L150" i="2"/>
  <c r="M150" i="2" s="1"/>
  <c r="K151" i="2" l="1"/>
  <c r="J152" i="2" s="1"/>
  <c r="L151" i="2"/>
  <c r="M151" i="2" s="1"/>
  <c r="K152" i="2" l="1"/>
  <c r="J153" i="2" s="1"/>
  <c r="L152" i="2"/>
  <c r="M152" i="2" s="1"/>
  <c r="K153" i="2" l="1"/>
  <c r="J154" i="2" s="1"/>
  <c r="L153" i="2"/>
  <c r="M153" i="2" s="1"/>
  <c r="K154" i="2" l="1"/>
  <c r="J155" i="2" s="1"/>
  <c r="L154" i="2"/>
  <c r="M154" i="2" s="1"/>
  <c r="K155" i="2" l="1"/>
  <c r="J156" i="2" s="1"/>
  <c r="L155" i="2"/>
  <c r="M155" i="2" s="1"/>
  <c r="K156" i="2" l="1"/>
  <c r="J157" i="2" s="1"/>
  <c r="L156" i="2"/>
  <c r="M156" i="2" s="1"/>
  <c r="K157" i="2" l="1"/>
  <c r="J158" i="2" s="1"/>
  <c r="L157" i="2"/>
  <c r="M157" i="2" s="1"/>
  <c r="K158" i="2" l="1"/>
  <c r="J159" i="2" s="1"/>
  <c r="L158" i="2"/>
  <c r="M158" i="2" s="1"/>
  <c r="K159" i="2" l="1"/>
  <c r="J160" i="2" s="1"/>
  <c r="L159" i="2"/>
  <c r="M159" i="2" s="1"/>
  <c r="K160" i="2" l="1"/>
  <c r="J161" i="2" s="1"/>
  <c r="L160" i="2"/>
  <c r="M160" i="2" s="1"/>
  <c r="K161" i="2" l="1"/>
  <c r="J162" i="2" s="1"/>
  <c r="L161" i="2"/>
  <c r="M161" i="2" s="1"/>
  <c r="K162" i="2" l="1"/>
  <c r="J163" i="2" s="1"/>
  <c r="L162" i="2"/>
  <c r="M162" i="2" s="1"/>
  <c r="K163" i="2" l="1"/>
  <c r="J164" i="2" s="1"/>
  <c r="L163" i="2"/>
  <c r="M163" i="2" s="1"/>
  <c r="K164" i="2" l="1"/>
  <c r="J165" i="2" s="1"/>
  <c r="L164" i="2"/>
  <c r="M164" i="2" s="1"/>
  <c r="K165" i="2" l="1"/>
  <c r="J166" i="2" s="1"/>
  <c r="L165" i="2"/>
  <c r="M165" i="2" s="1"/>
  <c r="K166" i="2" l="1"/>
  <c r="J167" i="2" s="1"/>
  <c r="L166" i="2"/>
  <c r="M166" i="2" s="1"/>
  <c r="K167" i="2" l="1"/>
  <c r="J168" i="2" s="1"/>
  <c r="L167" i="2"/>
  <c r="M167" i="2" s="1"/>
  <c r="K168" i="2" l="1"/>
  <c r="J169" i="2" s="1"/>
  <c r="L168" i="2"/>
  <c r="M168" i="2" s="1"/>
  <c r="K169" i="2" l="1"/>
  <c r="J170" i="2" s="1"/>
  <c r="L169" i="2"/>
  <c r="M169" i="2" s="1"/>
  <c r="K170" i="2" l="1"/>
  <c r="J171" i="2" s="1"/>
  <c r="L170" i="2"/>
  <c r="M170" i="2" s="1"/>
  <c r="K171" i="2" l="1"/>
  <c r="J172" i="2" s="1"/>
  <c r="L171" i="2"/>
  <c r="M171" i="2" s="1"/>
  <c r="K172" i="2" l="1"/>
  <c r="J173" i="2" s="1"/>
  <c r="L172" i="2"/>
  <c r="M172" i="2" s="1"/>
  <c r="K173" i="2" l="1"/>
  <c r="J174" i="2" s="1"/>
  <c r="L173" i="2"/>
  <c r="M173" i="2" s="1"/>
  <c r="K174" i="2" l="1"/>
  <c r="J175" i="2" s="1"/>
  <c r="L174" i="2"/>
  <c r="M174" i="2" s="1"/>
  <c r="K175" i="2" l="1"/>
  <c r="J176" i="2" s="1"/>
  <c r="L175" i="2"/>
  <c r="M175" i="2" s="1"/>
  <c r="K176" i="2" l="1"/>
  <c r="J177" i="2" s="1"/>
  <c r="L176" i="2"/>
  <c r="M176" i="2" s="1"/>
  <c r="K177" i="2" l="1"/>
  <c r="J178" i="2" s="1"/>
  <c r="L177" i="2"/>
  <c r="M177" i="2" s="1"/>
  <c r="K178" i="2" l="1"/>
  <c r="J179" i="2" s="1"/>
  <c r="L178" i="2"/>
  <c r="M178" i="2" s="1"/>
  <c r="K179" i="2" l="1"/>
  <c r="J180" i="2" s="1"/>
  <c r="L179" i="2"/>
  <c r="M179" i="2" s="1"/>
  <c r="K180" i="2" l="1"/>
  <c r="J181" i="2" s="1"/>
  <c r="L180" i="2"/>
  <c r="M180" i="2" s="1"/>
  <c r="K181" i="2" l="1"/>
  <c r="J182" i="2" s="1"/>
  <c r="L181" i="2"/>
  <c r="M181" i="2" s="1"/>
  <c r="K182" i="2" l="1"/>
  <c r="J183" i="2" s="1"/>
  <c r="L182" i="2"/>
  <c r="M182" i="2" s="1"/>
  <c r="K183" i="2" l="1"/>
  <c r="J184" i="2" s="1"/>
  <c r="L183" i="2"/>
  <c r="M183" i="2" s="1"/>
  <c r="K184" i="2" l="1"/>
  <c r="J185" i="2" s="1"/>
  <c r="L184" i="2"/>
  <c r="M184" i="2" s="1"/>
  <c r="K185" i="2" l="1"/>
  <c r="J186" i="2" s="1"/>
  <c r="L185" i="2"/>
  <c r="M185" i="2" s="1"/>
  <c r="K186" i="2" l="1"/>
  <c r="J187" i="2" s="1"/>
  <c r="L186" i="2"/>
  <c r="M186" i="2" s="1"/>
  <c r="K187" i="2" l="1"/>
  <c r="J188" i="2" s="1"/>
  <c r="L187" i="2"/>
  <c r="M187" i="2" s="1"/>
  <c r="K188" i="2" l="1"/>
  <c r="J189" i="2" s="1"/>
  <c r="L188" i="2"/>
  <c r="M188" i="2" s="1"/>
  <c r="K189" i="2" l="1"/>
  <c r="J190" i="2" s="1"/>
  <c r="L189" i="2"/>
  <c r="M189" i="2" s="1"/>
  <c r="K190" i="2" l="1"/>
  <c r="J191" i="2" s="1"/>
  <c r="L190" i="2"/>
  <c r="M190" i="2" s="1"/>
  <c r="K191" i="2" l="1"/>
  <c r="J192" i="2" s="1"/>
  <c r="L191" i="2"/>
  <c r="M191" i="2" s="1"/>
  <c r="K192" i="2" l="1"/>
  <c r="J193" i="2" s="1"/>
  <c r="L192" i="2"/>
  <c r="M192" i="2" s="1"/>
  <c r="K193" i="2" l="1"/>
  <c r="J194" i="2" s="1"/>
  <c r="L193" i="2"/>
  <c r="M193" i="2" s="1"/>
  <c r="K194" i="2" l="1"/>
  <c r="J195" i="2" s="1"/>
  <c r="L194" i="2"/>
  <c r="M194" i="2" s="1"/>
  <c r="K195" i="2" l="1"/>
  <c r="J196" i="2" s="1"/>
  <c r="L195" i="2"/>
  <c r="M195" i="2" s="1"/>
  <c r="K196" i="2" l="1"/>
  <c r="J197" i="2" s="1"/>
  <c r="L196" i="2"/>
  <c r="M196" i="2" s="1"/>
  <c r="K197" i="2" l="1"/>
  <c r="J198" i="2" s="1"/>
  <c r="L197" i="2"/>
  <c r="M197" i="2" s="1"/>
  <c r="K198" i="2" l="1"/>
  <c r="J199" i="2" s="1"/>
  <c r="L198" i="2"/>
  <c r="M198" i="2" s="1"/>
  <c r="K199" i="2" l="1"/>
  <c r="J200" i="2" s="1"/>
  <c r="L199" i="2"/>
  <c r="M199" i="2" s="1"/>
  <c r="K200" i="2" l="1"/>
  <c r="J201" i="2" s="1"/>
  <c r="L200" i="2"/>
  <c r="M200" i="2" s="1"/>
  <c r="K201" i="2" l="1"/>
  <c r="J202" i="2" s="1"/>
  <c r="L201" i="2"/>
  <c r="M201" i="2" s="1"/>
  <c r="K202" i="2" l="1"/>
  <c r="J203" i="2" s="1"/>
  <c r="L202" i="2"/>
  <c r="M202" i="2" s="1"/>
  <c r="K203" i="2" l="1"/>
  <c r="J204" i="2" s="1"/>
  <c r="L203" i="2"/>
  <c r="M203" i="2" s="1"/>
  <c r="K204" i="2" l="1"/>
  <c r="J205" i="2" s="1"/>
  <c r="L204" i="2"/>
  <c r="M204" i="2" s="1"/>
  <c r="K205" i="2" l="1"/>
  <c r="J206" i="2" s="1"/>
  <c r="L205" i="2"/>
  <c r="M205" i="2" s="1"/>
  <c r="K206" i="2" l="1"/>
  <c r="J207" i="2" s="1"/>
  <c r="L206" i="2"/>
  <c r="M206" i="2" s="1"/>
  <c r="K207" i="2" l="1"/>
  <c r="J208" i="2" s="1"/>
  <c r="L207" i="2"/>
  <c r="M207" i="2" s="1"/>
  <c r="K208" i="2" l="1"/>
  <c r="J209" i="2" s="1"/>
  <c r="L208" i="2"/>
  <c r="M208" i="2" s="1"/>
  <c r="K209" i="2" l="1"/>
  <c r="J210" i="2" s="1"/>
  <c r="L209" i="2"/>
  <c r="M209" i="2" s="1"/>
  <c r="K210" i="2" l="1"/>
  <c r="J211" i="2" s="1"/>
  <c r="L210" i="2"/>
  <c r="M210" i="2" s="1"/>
  <c r="K211" i="2" l="1"/>
  <c r="J212" i="2" s="1"/>
  <c r="L211" i="2"/>
  <c r="M211" i="2" s="1"/>
  <c r="K212" i="2" l="1"/>
  <c r="J213" i="2" s="1"/>
  <c r="L212" i="2"/>
  <c r="M212" i="2" s="1"/>
  <c r="K213" i="2" l="1"/>
  <c r="J214" i="2" s="1"/>
  <c r="L213" i="2"/>
  <c r="M213" i="2" s="1"/>
  <c r="R19" i="2" s="1" a="1"/>
  <c r="R19" i="2" s="1"/>
  <c r="K214" i="2" l="1"/>
  <c r="L214" i="2"/>
  <c r="M214" i="2" l="1"/>
  <c r="H6" i="2"/>
  <c r="K10" i="2"/>
  <c r="J14" i="1" s="1"/>
  <c r="H7" i="2"/>
  <c r="J18" i="1" s="1"/>
  <c r="K9" i="2"/>
  <c r="J20" i="1" s="1"/>
  <c r="K5" i="2"/>
  <c r="K7" i="2"/>
  <c r="K4" i="2"/>
  <c r="K6" i="2"/>
  <c r="M9" i="2" l="1"/>
  <c r="M5" i="2"/>
  <c r="M7" i="2"/>
  <c r="M6" i="2"/>
  <c r="M8" i="2" s="1"/>
  <c r="M4" i="2"/>
  <c r="K8" i="2"/>
  <c r="J8" i="1"/>
  <c r="J6" i="1"/>
  <c r="K20" i="6" l="1"/>
  <c r="F20" i="6"/>
  <c r="J21" i="6" l="1"/>
  <c r="H21" i="6" l="1"/>
  <c r="L21" i="6" s="1"/>
  <c r="N21" i="6" s="1"/>
  <c r="M22" i="6" l="1"/>
  <c r="K21" i="6"/>
  <c r="O21" i="6" s="1"/>
  <c r="J22" i="6" l="1"/>
  <c r="H22" i="6" l="1"/>
  <c r="L22" i="6" s="1"/>
  <c r="N22" i="6" s="1"/>
  <c r="M23" i="6" l="1"/>
  <c r="K22" i="6"/>
  <c r="O22" i="6" s="1"/>
  <c r="J23" i="6" l="1"/>
  <c r="F25" i="6"/>
  <c r="H23" i="6" l="1"/>
  <c r="K23" i="6" s="1"/>
  <c r="J24" i="6" l="1"/>
  <c r="K24" i="6" s="1"/>
  <c r="O23" i="6"/>
  <c r="L24" i="6"/>
  <c r="L23" i="6"/>
  <c r="N23" i="6" s="1"/>
  <c r="J25" i="6" l="1"/>
  <c r="O24" i="6"/>
  <c r="M25" i="6"/>
  <c r="N24" i="6"/>
  <c r="M24" i="6"/>
  <c r="L25" i="6"/>
  <c r="K25" i="6"/>
  <c r="J26" i="6" l="1"/>
  <c r="O25" i="6"/>
  <c r="M26" i="6"/>
  <c r="N25" i="6"/>
  <c r="L26" i="6"/>
  <c r="N26" i="6" s="1"/>
  <c r="K26" i="6"/>
  <c r="J27" i="6" l="1"/>
  <c r="O26" i="6"/>
  <c r="H27" i="6"/>
  <c r="K27" i="6" s="1"/>
  <c r="M27" i="6"/>
  <c r="J28" i="6" l="1"/>
  <c r="O27" i="6"/>
  <c r="H28" i="6"/>
  <c r="L28" i="6" s="1"/>
  <c r="L27" i="6"/>
  <c r="M28" i="6" l="1"/>
  <c r="N27" i="6"/>
  <c r="M29" i="6"/>
  <c r="N28" i="6"/>
  <c r="K28" i="6"/>
  <c r="J29" i="6" l="1"/>
  <c r="H29" i="6" s="1"/>
  <c r="K29" i="6" s="1"/>
  <c r="O29" i="6" s="1"/>
  <c r="O28" i="6"/>
  <c r="J30" i="6" l="1"/>
  <c r="H30" i="6" s="1"/>
  <c r="L29" i="6"/>
  <c r="M30" i="6" s="1"/>
  <c r="Q20" i="6"/>
  <c r="L30" i="6"/>
  <c r="K30" i="6"/>
  <c r="O30" i="6" s="1"/>
  <c r="N29" i="6" l="1"/>
  <c r="M31" i="6"/>
  <c r="N30" i="6"/>
  <c r="J31" i="6"/>
  <c r="K31" i="6" l="1"/>
  <c r="L31" i="6"/>
  <c r="J32" i="6" l="1"/>
  <c r="O31" i="6"/>
  <c r="M32" i="6"/>
  <c r="N31" i="6"/>
  <c r="K32" i="6"/>
  <c r="L32" i="6"/>
  <c r="J33" i="6" l="1"/>
  <c r="S20" i="6" s="1"/>
  <c r="O32" i="6"/>
  <c r="M33" i="6"/>
  <c r="N32" i="6"/>
  <c r="K33" i="6"/>
  <c r="L33" i="6"/>
  <c r="T20" i="6" l="1"/>
  <c r="O33" i="6"/>
  <c r="U20" i="6"/>
  <c r="N33" i="6"/>
  <c r="M34" i="6"/>
  <c r="J34" i="6"/>
  <c r="H34" i="6" l="1"/>
  <c r="K34" i="6" s="1"/>
  <c r="O34" i="6" s="1"/>
  <c r="J35" i="6" l="1"/>
  <c r="L34" i="6"/>
  <c r="N34" i="6" s="1"/>
  <c r="M35" i="6" l="1"/>
  <c r="H35" i="6"/>
  <c r="K35" i="6" s="1"/>
  <c r="O35" i="6" s="1"/>
  <c r="J36" i="6" l="1"/>
  <c r="L35" i="6"/>
  <c r="N35" i="6" s="1"/>
  <c r="M36" i="6" l="1"/>
  <c r="H36" i="6"/>
  <c r="K36" i="6" l="1"/>
  <c r="L36" i="6"/>
  <c r="N36" i="6" s="1"/>
  <c r="J37" i="6" l="1"/>
  <c r="O36" i="6"/>
  <c r="M37" i="6"/>
  <c r="H37" i="6"/>
  <c r="K37" i="6" s="1"/>
  <c r="O37" i="6" s="1"/>
  <c r="J38" i="6" l="1"/>
  <c r="L37" i="6"/>
  <c r="N37" i="6" s="1"/>
  <c r="M38" i="6" l="1"/>
  <c r="K38" i="6"/>
  <c r="O38" i="6" s="1"/>
  <c r="J39" i="6" l="1"/>
  <c r="L38" i="6"/>
  <c r="N38" i="6" s="1"/>
  <c r="M39" i="6" l="1"/>
  <c r="L39" i="6"/>
  <c r="M40" i="6" l="1"/>
  <c r="N39" i="6"/>
  <c r="K39" i="6"/>
  <c r="J40" i="6" l="1"/>
  <c r="K40" i="6" s="1"/>
  <c r="O39" i="6"/>
  <c r="L40" i="6" l="1"/>
  <c r="J41" i="6"/>
  <c r="H41" i="6" s="1"/>
  <c r="O40" i="6"/>
  <c r="M41" i="6"/>
  <c r="N40" i="6"/>
  <c r="L41" i="6"/>
  <c r="M42" i="6" l="1"/>
  <c r="N41" i="6"/>
  <c r="K41" i="6"/>
  <c r="J42" i="6" l="1"/>
  <c r="H42" i="6" s="1"/>
  <c r="L42" i="6" s="1"/>
  <c r="O41" i="6"/>
  <c r="M43" i="6" l="1"/>
  <c r="N42" i="6"/>
  <c r="K42" i="6"/>
  <c r="J43" i="6" l="1"/>
  <c r="H43" i="6" s="1"/>
  <c r="L43" i="6" s="1"/>
  <c r="O42" i="6"/>
  <c r="M44" i="6" l="1"/>
  <c r="N43" i="6"/>
  <c r="K43" i="6"/>
  <c r="J44" i="6" l="1"/>
  <c r="H44" i="6" s="1"/>
  <c r="Q21" i="6" s="1"/>
  <c r="O43" i="6"/>
  <c r="L44" i="6" l="1"/>
  <c r="M45" i="6" s="1"/>
  <c r="K44" i="6"/>
  <c r="N44" i="6" l="1"/>
  <c r="J45" i="6"/>
  <c r="K45" i="6" s="1"/>
  <c r="O44" i="6"/>
  <c r="L45" i="6"/>
  <c r="J46" i="6" l="1"/>
  <c r="O45" i="6"/>
  <c r="M46" i="6"/>
  <c r="N45" i="6"/>
  <c r="K46" i="6" l="1"/>
  <c r="L46" i="6"/>
  <c r="M47" i="6" l="1"/>
  <c r="N46" i="6"/>
  <c r="J47" i="6"/>
  <c r="O46" i="6"/>
  <c r="S21" i="6" l="1"/>
  <c r="K47" i="6"/>
  <c r="L47" i="6"/>
  <c r="U21" i="6" l="1"/>
  <c r="M48" i="6"/>
  <c r="N47" i="6"/>
  <c r="O47" i="6"/>
  <c r="J48" i="6"/>
  <c r="T21" i="6"/>
  <c r="H48" i="6" l="1"/>
  <c r="L48" i="6" s="1"/>
  <c r="K48" i="6" l="1"/>
  <c r="N48" i="6"/>
  <c r="M49" i="6"/>
  <c r="O48" i="6" l="1"/>
  <c r="J49" i="6"/>
  <c r="H49" i="6" s="1"/>
  <c r="K49" i="6" l="1"/>
  <c r="L49" i="6"/>
  <c r="N49" i="6" l="1"/>
  <c r="M50" i="6"/>
  <c r="O49" i="6"/>
  <c r="J50" i="6"/>
  <c r="H50" i="6" l="1"/>
  <c r="L50" i="6" s="1"/>
  <c r="K50" i="6" l="1"/>
  <c r="N50" i="6"/>
  <c r="M51" i="6"/>
  <c r="O50" i="6" l="1"/>
  <c r="J51" i="6"/>
  <c r="H51" i="6" s="1"/>
  <c r="K51" i="6" l="1"/>
  <c r="L51" i="6"/>
  <c r="N51" i="6" l="1"/>
  <c r="M52" i="6"/>
  <c r="O51" i="6"/>
  <c r="J52" i="6"/>
  <c r="L52" i="6" l="1"/>
  <c r="K52" i="6"/>
  <c r="O52" i="6" l="1"/>
  <c r="J53" i="6"/>
  <c r="M53" i="6"/>
  <c r="N52" i="6"/>
  <c r="L53" i="6" l="1"/>
  <c r="K53" i="6"/>
  <c r="J54" i="6" l="1"/>
  <c r="O53" i="6"/>
  <c r="N53" i="6"/>
  <c r="M54" i="6"/>
  <c r="L54" i="6" l="1"/>
  <c r="K54" i="6"/>
  <c r="J55" i="6" l="1"/>
  <c r="O54" i="6"/>
  <c r="M55" i="6"/>
  <c r="N54" i="6"/>
  <c r="H55" i="6" l="1"/>
  <c r="L55" i="6" s="1"/>
  <c r="K55" i="6" l="1"/>
  <c r="M56" i="6"/>
  <c r="N55" i="6"/>
  <c r="J56" i="6" l="1"/>
  <c r="O55" i="6"/>
  <c r="H56" i="6" l="1"/>
  <c r="L56" i="6" s="1"/>
  <c r="K56" i="6" l="1"/>
  <c r="M57" i="6"/>
  <c r="N56" i="6"/>
  <c r="J57" i="6" l="1"/>
  <c r="O56" i="6"/>
  <c r="H57" i="6" l="1"/>
  <c r="L57" i="6" s="1"/>
  <c r="K57" i="6" l="1"/>
  <c r="M58" i="6"/>
  <c r="N57" i="6"/>
  <c r="J58" i="6" l="1"/>
  <c r="O57" i="6"/>
  <c r="H58" i="6" l="1"/>
  <c r="K58" i="6" s="1"/>
  <c r="J59" i="6" l="1"/>
  <c r="O58" i="6"/>
  <c r="Q22" i="6"/>
  <c r="L58" i="6"/>
  <c r="M59" i="6" l="1"/>
  <c r="N58" i="6"/>
  <c r="K59" i="6"/>
  <c r="L59" i="6"/>
  <c r="J60" i="6" l="1"/>
  <c r="O59" i="6"/>
  <c r="M60" i="6"/>
  <c r="N59" i="6"/>
  <c r="K60" i="6" l="1"/>
  <c r="L60" i="6"/>
  <c r="N60" i="6" l="1"/>
  <c r="M61" i="6"/>
  <c r="J61" i="6"/>
  <c r="O60" i="6"/>
  <c r="S22" i="6" l="1"/>
  <c r="K61" i="6"/>
  <c r="L61" i="6"/>
  <c r="M62" i="6" l="1"/>
  <c r="N61" i="6"/>
  <c r="U22" i="6"/>
  <c r="O61" i="6"/>
  <c r="J62" i="6"/>
  <c r="T22" i="6"/>
  <c r="H62" i="6" l="1"/>
  <c r="L62" i="6" s="1"/>
  <c r="K62" i="6" l="1"/>
  <c r="N62" i="6"/>
  <c r="M63" i="6"/>
  <c r="O62" i="6" l="1"/>
  <c r="J63" i="6"/>
  <c r="H63" i="6" s="1"/>
  <c r="K63" i="6" l="1"/>
  <c r="L63" i="6"/>
  <c r="N63" i="6" l="1"/>
  <c r="M64" i="6"/>
  <c r="O63" i="6"/>
  <c r="J64" i="6"/>
  <c r="H64" i="6" s="1"/>
  <c r="K64" i="6" l="1"/>
  <c r="L64" i="6"/>
  <c r="N64" i="6" l="1"/>
  <c r="M65" i="6"/>
  <c r="O64" i="6"/>
  <c r="J65" i="6"/>
  <c r="H65" i="6" s="1"/>
  <c r="K65" i="6" l="1"/>
  <c r="L65" i="6"/>
  <c r="N65" i="6" l="1"/>
  <c r="M66" i="6"/>
  <c r="O65" i="6"/>
  <c r="J66" i="6"/>
  <c r="L66" i="6" l="1"/>
  <c r="K66" i="6"/>
  <c r="O66" i="6" l="1"/>
  <c r="J67" i="6"/>
  <c r="M67" i="6"/>
  <c r="N66" i="6"/>
  <c r="L67" i="6" l="1"/>
  <c r="K67" i="6"/>
  <c r="J68" i="6" l="1"/>
  <c r="O67" i="6"/>
  <c r="N67" i="6"/>
  <c r="M68" i="6"/>
  <c r="L68" i="6" l="1"/>
  <c r="K68" i="6"/>
  <c r="J69" i="6" l="1"/>
  <c r="O68" i="6"/>
  <c r="N68" i="6"/>
  <c r="M69" i="6"/>
  <c r="H69" i="6" l="1"/>
  <c r="L69" i="6" s="1"/>
  <c r="K69" i="6" l="1"/>
  <c r="J70" i="6" s="1"/>
  <c r="N69" i="6"/>
  <c r="M70" i="6"/>
  <c r="O69" i="6" l="1"/>
  <c r="H70" i="6"/>
  <c r="L70" i="6" s="1"/>
  <c r="K70" i="6" l="1"/>
  <c r="M71" i="6"/>
  <c r="N70" i="6"/>
  <c r="J71" i="6" l="1"/>
  <c r="O70" i="6"/>
  <c r="H71" i="6" l="1"/>
  <c r="L71" i="6" s="1"/>
  <c r="K71" i="6" l="1"/>
  <c r="M72" i="6"/>
  <c r="N71" i="6"/>
  <c r="J72" i="6" l="1"/>
  <c r="O71" i="6"/>
  <c r="H72" i="6" l="1"/>
  <c r="K72" i="6" s="1"/>
  <c r="J73" i="6" l="1"/>
  <c r="O72" i="6"/>
  <c r="Q23" i="6"/>
  <c r="L72" i="6"/>
  <c r="M73" i="6" l="1"/>
  <c r="N72" i="6"/>
  <c r="K73" i="6"/>
  <c r="L73" i="6"/>
  <c r="M74" i="6" l="1"/>
  <c r="N73" i="6"/>
  <c r="J74" i="6"/>
  <c r="O73" i="6"/>
  <c r="K74" i="6" l="1"/>
  <c r="L74" i="6"/>
  <c r="M75" i="6" l="1"/>
  <c r="N74" i="6"/>
  <c r="J75" i="6"/>
  <c r="O74" i="6"/>
  <c r="S23" i="6" l="1"/>
  <c r="L75" i="6"/>
  <c r="K75" i="6"/>
  <c r="T23" i="6" l="1"/>
  <c r="O75" i="6"/>
  <c r="J76" i="6"/>
  <c r="H76" i="6" s="1"/>
  <c r="M76" i="6"/>
  <c r="N75" i="6"/>
  <c r="U23" i="6"/>
  <c r="K76" i="6" l="1"/>
  <c r="L76" i="6"/>
  <c r="N76" i="6" l="1"/>
  <c r="M77" i="6"/>
  <c r="O76" i="6"/>
  <c r="J77" i="6"/>
  <c r="H77" i="6" l="1"/>
  <c r="L77" i="6" s="1"/>
  <c r="K77" i="6" l="1"/>
  <c r="N77" i="6"/>
  <c r="M78" i="6"/>
  <c r="O77" i="6" l="1"/>
  <c r="J78" i="6"/>
  <c r="H78" i="6" l="1"/>
  <c r="L78" i="6" s="1"/>
  <c r="K78" i="6" l="1"/>
  <c r="N78" i="6"/>
  <c r="M79" i="6"/>
  <c r="J79" i="6" l="1"/>
  <c r="O78" i="6"/>
  <c r="H79" i="6" l="1"/>
  <c r="L79" i="6" s="1"/>
  <c r="K79" i="6" l="1"/>
  <c r="M80" i="6"/>
  <c r="N79" i="6"/>
  <c r="J80" i="6" l="1"/>
  <c r="O79" i="6"/>
  <c r="H80" i="6" l="1"/>
  <c r="K80" i="6" l="1"/>
  <c r="L80" i="6"/>
  <c r="N80" i="6" l="1"/>
  <c r="M81" i="6"/>
  <c r="O80" i="6"/>
  <c r="J81" i="6"/>
  <c r="L81" i="6" l="1"/>
  <c r="K81" i="6"/>
  <c r="J82" i="6" l="1"/>
  <c r="O81" i="6"/>
  <c r="M82" i="6"/>
  <c r="N81" i="6"/>
  <c r="L82" i="6" l="1"/>
  <c r="K82" i="6"/>
  <c r="J83" i="6" l="1"/>
  <c r="O82" i="6"/>
  <c r="M83" i="6"/>
  <c r="N82" i="6"/>
  <c r="H83" i="6" l="1"/>
  <c r="L83" i="6" s="1"/>
  <c r="K83" i="6" l="1"/>
  <c r="M84" i="6"/>
  <c r="N83" i="6"/>
  <c r="J84" i="6" l="1"/>
  <c r="O83" i="6"/>
  <c r="H84" i="6" l="1"/>
  <c r="L84" i="6" s="1"/>
  <c r="K84" i="6" l="1"/>
  <c r="M85" i="6"/>
  <c r="N84" i="6"/>
  <c r="J85" i="6" l="1"/>
  <c r="O84" i="6"/>
  <c r="H85" i="6" l="1"/>
  <c r="L85" i="6" s="1"/>
  <c r="K85" i="6" l="1"/>
  <c r="M86" i="6"/>
  <c r="N85" i="6"/>
  <c r="J86" i="6" l="1"/>
  <c r="O85" i="6"/>
  <c r="H86" i="6" l="1"/>
  <c r="L86" i="6" s="1"/>
  <c r="K86" i="6" l="1"/>
  <c r="N86" i="6"/>
  <c r="M87" i="6"/>
  <c r="J87" i="6" l="1"/>
  <c r="O86" i="6"/>
  <c r="H87" i="6" l="1"/>
  <c r="K87" i="6" s="1"/>
  <c r="J88" i="6" l="1"/>
  <c r="O87" i="6"/>
  <c r="Q24" i="6"/>
  <c r="L87" i="6"/>
  <c r="M88" i="6" l="1"/>
  <c r="N87" i="6"/>
  <c r="K88" i="6"/>
  <c r="L88" i="6"/>
  <c r="M89" i="6" l="1"/>
  <c r="N88" i="6"/>
  <c r="J89" i="6"/>
  <c r="O88" i="6"/>
  <c r="K89" i="6" l="1"/>
  <c r="L89" i="6"/>
  <c r="S24" i="6"/>
  <c r="N89" i="6" l="1"/>
  <c r="M90" i="6"/>
  <c r="U24" i="6"/>
  <c r="O89" i="6"/>
  <c r="J90" i="6"/>
  <c r="H90" i="6" s="1"/>
  <c r="T24" i="6"/>
  <c r="K90" i="6" l="1"/>
  <c r="L90" i="6"/>
  <c r="M91" i="6" l="1"/>
  <c r="N90" i="6"/>
  <c r="O90" i="6"/>
  <c r="J91" i="6"/>
  <c r="H91" i="6" s="1"/>
  <c r="K91" i="6" l="1"/>
  <c r="L91" i="6"/>
  <c r="N91" i="6" l="1"/>
  <c r="M92" i="6"/>
  <c r="O91" i="6"/>
  <c r="J92" i="6"/>
  <c r="H92" i="6" s="1"/>
  <c r="K92" i="6" l="1"/>
  <c r="L92" i="6"/>
  <c r="M93" i="6" l="1"/>
  <c r="N92" i="6"/>
  <c r="O92" i="6"/>
  <c r="J93" i="6"/>
  <c r="H93" i="6" s="1"/>
  <c r="K93" i="6" l="1"/>
  <c r="L93" i="6"/>
  <c r="M94" i="6" l="1"/>
  <c r="N93" i="6"/>
  <c r="O93" i="6"/>
  <c r="J94" i="6"/>
  <c r="H94" i="6" s="1"/>
  <c r="K94" i="6" l="1"/>
  <c r="L94" i="6"/>
  <c r="N94" i="6" l="1"/>
  <c r="M95" i="6"/>
  <c r="O94" i="6"/>
  <c r="J95" i="6"/>
  <c r="L95" i="6" l="1"/>
  <c r="K95" i="6"/>
  <c r="J96" i="6" l="1"/>
  <c r="O95" i="6"/>
  <c r="N95" i="6"/>
  <c r="M96" i="6"/>
  <c r="K96" i="6" l="1"/>
  <c r="L96" i="6"/>
  <c r="M97" i="6" l="1"/>
  <c r="N96" i="6"/>
  <c r="J97" i="6"/>
  <c r="O96" i="6"/>
  <c r="H97" i="6" l="1"/>
  <c r="L97" i="6" s="1"/>
  <c r="K97" i="6" l="1"/>
  <c r="M98" i="6"/>
  <c r="N97" i="6"/>
  <c r="J98" i="6" l="1"/>
  <c r="H98" i="6" s="1"/>
  <c r="O97" i="6"/>
  <c r="K98" i="6" l="1"/>
  <c r="L98" i="6"/>
  <c r="M99" i="6" l="1"/>
  <c r="N98" i="6"/>
  <c r="J99" i="6"/>
  <c r="O98" i="6"/>
  <c r="H99" i="6" l="1"/>
  <c r="L99" i="6" s="1"/>
  <c r="K99" i="6" l="1"/>
  <c r="M100" i="6"/>
  <c r="N99" i="6"/>
  <c r="J100" i="6" l="1"/>
  <c r="O99" i="6"/>
  <c r="H100" i="6" l="1"/>
  <c r="L100" i="6" s="1"/>
  <c r="K100" i="6" l="1"/>
  <c r="M101" i="6"/>
  <c r="N100" i="6"/>
  <c r="J101" i="6" l="1"/>
  <c r="O100" i="6"/>
  <c r="H101" i="6" l="1"/>
  <c r="K101" i="6" s="1"/>
  <c r="J102" i="6" l="1"/>
  <c r="O101" i="6"/>
  <c r="Q25" i="6"/>
  <c r="L101" i="6"/>
  <c r="N101" i="6" l="1"/>
  <c r="M102" i="6"/>
  <c r="K102" i="6"/>
  <c r="L102" i="6"/>
  <c r="M103" i="6" l="1"/>
  <c r="N102" i="6"/>
  <c r="J103" i="6"/>
  <c r="O102" i="6"/>
  <c r="S25" i="6" l="1"/>
  <c r="K103" i="6"/>
  <c r="L103" i="6"/>
  <c r="N103" i="6" l="1"/>
  <c r="M104" i="6"/>
  <c r="U25" i="6"/>
  <c r="O103" i="6"/>
  <c r="J104" i="6"/>
  <c r="T25" i="6"/>
  <c r="H104" i="6" l="1"/>
  <c r="L104" i="6" s="1"/>
  <c r="K104" i="6" l="1"/>
  <c r="M105" i="6"/>
  <c r="N104" i="6"/>
  <c r="O104" i="6" l="1"/>
  <c r="J105" i="6"/>
  <c r="H105" i="6" s="1"/>
  <c r="K105" i="6" l="1"/>
  <c r="L105" i="6"/>
  <c r="N105" i="6" l="1"/>
  <c r="M106" i="6"/>
  <c r="O105" i="6"/>
  <c r="J106" i="6"/>
  <c r="H106" i="6" s="1"/>
  <c r="K106" i="6" l="1"/>
  <c r="L106" i="6"/>
  <c r="M107" i="6" l="1"/>
  <c r="N106" i="6"/>
  <c r="O106" i="6"/>
  <c r="J107" i="6"/>
  <c r="H107" i="6" s="1"/>
  <c r="K107" i="6" l="1"/>
  <c r="L107" i="6"/>
  <c r="M108" i="6" l="1"/>
  <c r="N107" i="6"/>
  <c r="O107" i="6"/>
  <c r="J108" i="6"/>
  <c r="H108" i="6" s="1"/>
  <c r="K108" i="6" l="1"/>
  <c r="L108" i="6"/>
  <c r="N108" i="6" l="1"/>
  <c r="M109" i="6"/>
  <c r="O108" i="6"/>
  <c r="J109" i="6"/>
  <c r="L109" i="6" l="1"/>
  <c r="K109" i="6"/>
  <c r="J110" i="6" l="1"/>
  <c r="O109" i="6"/>
  <c r="M110" i="6"/>
  <c r="N109" i="6"/>
  <c r="L110" i="6" l="1"/>
  <c r="K110" i="6"/>
  <c r="J111" i="6" l="1"/>
  <c r="O110" i="6"/>
  <c r="N110" i="6"/>
  <c r="M111" i="6"/>
  <c r="H111" i="6" l="1"/>
  <c r="L111" i="6" s="1"/>
  <c r="K111" i="6" l="1"/>
  <c r="N111" i="6"/>
  <c r="M112" i="6"/>
  <c r="J112" i="6" l="1"/>
  <c r="O111" i="6"/>
  <c r="H112" i="6" l="1"/>
  <c r="L112" i="6" s="1"/>
  <c r="K112" i="6" l="1"/>
  <c r="M113" i="6"/>
  <c r="N112" i="6"/>
  <c r="J113" i="6" l="1"/>
  <c r="O112" i="6"/>
  <c r="H113" i="6" l="1"/>
  <c r="L113" i="6" s="1"/>
  <c r="K113" i="6" l="1"/>
  <c r="M114" i="6"/>
  <c r="N113" i="6"/>
  <c r="J114" i="6" l="1"/>
  <c r="O113" i="6"/>
  <c r="H114" i="6" l="1"/>
  <c r="L114" i="6" s="1"/>
  <c r="K114" i="6" l="1"/>
  <c r="N114" i="6"/>
  <c r="M115" i="6"/>
  <c r="J115" i="6" l="1"/>
  <c r="O114" i="6"/>
  <c r="H115" i="6" l="1"/>
  <c r="K115" i="6" s="1"/>
  <c r="J116" i="6" l="1"/>
  <c r="O115" i="6"/>
  <c r="Q26" i="6"/>
  <c r="L115" i="6"/>
  <c r="M116" i="6" l="1"/>
  <c r="N115" i="6"/>
  <c r="K116" i="6"/>
  <c r="L116" i="6"/>
  <c r="J117" i="6" l="1"/>
  <c r="O116" i="6"/>
  <c r="M117" i="6"/>
  <c r="N116" i="6"/>
  <c r="S26" i="6" l="1"/>
  <c r="L117" i="6"/>
  <c r="K117" i="6"/>
  <c r="O117" i="6" l="1"/>
  <c r="J118" i="6"/>
  <c r="T26" i="6"/>
  <c r="N117" i="6"/>
  <c r="M118" i="6"/>
  <c r="U26" i="6"/>
  <c r="H118" i="6" l="1"/>
  <c r="L118" i="6" s="1"/>
  <c r="K118" i="6" l="1"/>
  <c r="O118" i="6" s="1"/>
  <c r="M119" i="6"/>
  <c r="N118" i="6"/>
  <c r="J119" i="6" l="1"/>
  <c r="H119" i="6" s="1"/>
  <c r="L119" i="6" s="1"/>
  <c r="K119" i="6" l="1"/>
  <c r="N119" i="6"/>
  <c r="M120" i="6"/>
  <c r="O119" i="6"/>
  <c r="J120" i="6"/>
  <c r="H120" i="6" s="1"/>
  <c r="K120" i="6" l="1"/>
  <c r="L120" i="6"/>
  <c r="M121" i="6" l="1"/>
  <c r="N120" i="6"/>
  <c r="O120" i="6"/>
  <c r="J121" i="6"/>
  <c r="H121" i="6" s="1"/>
  <c r="K121" i="6" l="1"/>
  <c r="L121" i="6"/>
  <c r="M122" i="6" l="1"/>
  <c r="N121" i="6"/>
  <c r="O121" i="6"/>
  <c r="J122" i="6"/>
  <c r="H122" i="6" s="1"/>
  <c r="K122" i="6" l="1"/>
  <c r="L122" i="6"/>
  <c r="N122" i="6" l="1"/>
  <c r="M123" i="6"/>
  <c r="O122" i="6"/>
  <c r="J123" i="6"/>
  <c r="L123" i="6" l="1"/>
  <c r="K123" i="6"/>
  <c r="J124" i="6" l="1"/>
  <c r="O123" i="6"/>
  <c r="N123" i="6"/>
  <c r="M124" i="6"/>
  <c r="L124" i="6" l="1"/>
  <c r="K124" i="6"/>
  <c r="J125" i="6" l="1"/>
  <c r="O124" i="6"/>
  <c r="M125" i="6"/>
  <c r="N124" i="6"/>
  <c r="H125" i="6" l="1"/>
  <c r="L125" i="6" s="1"/>
  <c r="K125" i="6" l="1"/>
  <c r="N125" i="6"/>
  <c r="M126" i="6"/>
  <c r="J126" i="6" l="1"/>
  <c r="O125" i="6"/>
  <c r="H126" i="6" l="1"/>
  <c r="L126" i="6" s="1"/>
  <c r="K126" i="6" l="1"/>
  <c r="M127" i="6"/>
  <c r="N126" i="6"/>
  <c r="J127" i="6" l="1"/>
  <c r="O126" i="6"/>
  <c r="H127" i="6" l="1"/>
  <c r="L127" i="6" s="1"/>
  <c r="K127" i="6" l="1"/>
  <c r="N127" i="6"/>
  <c r="M128" i="6"/>
  <c r="J128" i="6" l="1"/>
  <c r="O127" i="6"/>
  <c r="H128" i="6" l="1"/>
  <c r="L128" i="6" s="1"/>
  <c r="K128" i="6" l="1"/>
  <c r="M129" i="6"/>
  <c r="N128" i="6"/>
  <c r="J129" i="6" l="1"/>
  <c r="O128" i="6"/>
  <c r="H129" i="6" l="1"/>
  <c r="K129" i="6" s="1"/>
  <c r="J130" i="6" l="1"/>
  <c r="O129" i="6"/>
  <c r="Q27" i="6"/>
  <c r="L129" i="6"/>
  <c r="M130" i="6" l="1"/>
  <c r="N129" i="6"/>
  <c r="L130" i="6"/>
  <c r="K130" i="6"/>
  <c r="J131" i="6" l="1"/>
  <c r="O130" i="6"/>
  <c r="M131" i="6"/>
  <c r="N130" i="6"/>
  <c r="S27" i="6" l="1"/>
  <c r="K131" i="6"/>
  <c r="L131" i="6"/>
  <c r="N131" i="6" l="1"/>
  <c r="M132" i="6"/>
  <c r="U27" i="6"/>
  <c r="T27" i="6"/>
  <c r="O131" i="6"/>
  <c r="J132" i="6"/>
  <c r="H132" i="6" l="1"/>
  <c r="K132" i="6" s="1"/>
  <c r="O132" i="6" l="1"/>
  <c r="J133" i="6"/>
  <c r="H133" i="6" s="1"/>
  <c r="L132" i="6"/>
  <c r="N132" i="6" l="1"/>
  <c r="M133" i="6"/>
  <c r="K133" i="6"/>
  <c r="L133" i="6"/>
  <c r="O133" i="6" l="1"/>
  <c r="J134" i="6"/>
  <c r="H134" i="6" s="1"/>
  <c r="M134" i="6"/>
  <c r="N133" i="6"/>
  <c r="K134" i="6" l="1"/>
  <c r="L134" i="6"/>
  <c r="M135" i="6" l="1"/>
  <c r="N134" i="6"/>
  <c r="O134" i="6"/>
  <c r="J135" i="6"/>
  <c r="H135" i="6" s="1"/>
  <c r="K135" i="6" l="1"/>
  <c r="L135" i="6"/>
  <c r="M136" i="6" l="1"/>
  <c r="N135" i="6"/>
  <c r="O135" i="6"/>
  <c r="J136" i="6"/>
  <c r="H136" i="6" l="1"/>
  <c r="K136" i="6" s="1"/>
  <c r="O136" i="6" l="1"/>
  <c r="J137" i="6"/>
  <c r="L136" i="6"/>
  <c r="N136" i="6" l="1"/>
  <c r="M137" i="6"/>
  <c r="L137" i="6"/>
  <c r="K137" i="6"/>
  <c r="J138" i="6" l="1"/>
  <c r="O137" i="6"/>
  <c r="N137" i="6"/>
  <c r="M138" i="6"/>
  <c r="L138" i="6" l="1"/>
  <c r="K138" i="6"/>
  <c r="J139" i="6" l="1"/>
  <c r="O138" i="6"/>
  <c r="M139" i="6"/>
  <c r="N138" i="6"/>
  <c r="H139" i="6" l="1"/>
  <c r="K139" i="6" s="1"/>
  <c r="J140" i="6" l="1"/>
  <c r="H140" i="6" s="1"/>
  <c r="O139" i="6"/>
  <c r="L139" i="6"/>
  <c r="M140" i="6" l="1"/>
  <c r="N139" i="6"/>
  <c r="K140" i="6"/>
  <c r="L140" i="6"/>
  <c r="N140" i="6" l="1"/>
  <c r="M141" i="6"/>
  <c r="J141" i="6"/>
  <c r="O140" i="6"/>
  <c r="H141" i="6" l="1"/>
  <c r="L141" i="6" s="1"/>
  <c r="K141" i="6" l="1"/>
  <c r="M142" i="6"/>
  <c r="N141" i="6"/>
  <c r="J142" i="6" l="1"/>
  <c r="O141" i="6"/>
  <c r="H142" i="6" l="1"/>
  <c r="L142" i="6" s="1"/>
  <c r="K142" i="6" l="1"/>
  <c r="M143" i="6"/>
  <c r="N142" i="6"/>
  <c r="J143" i="6" l="1"/>
  <c r="O142" i="6"/>
  <c r="H143" i="6" l="1"/>
  <c r="K143" i="6" s="1"/>
  <c r="J144" i="6" l="1"/>
  <c r="O143" i="6"/>
  <c r="L143" i="6"/>
  <c r="Q28" i="6"/>
  <c r="N143" i="6" l="1"/>
  <c r="M144" i="6"/>
  <c r="L144" i="6"/>
  <c r="K144" i="6"/>
  <c r="J145" i="6" l="1"/>
  <c r="O144" i="6"/>
  <c r="M145" i="6"/>
  <c r="N144" i="6"/>
  <c r="S28" i="6" l="1"/>
  <c r="L145" i="6"/>
  <c r="K145" i="6"/>
  <c r="O145" i="6" l="1"/>
  <c r="J146" i="6"/>
  <c r="T28" i="6"/>
  <c r="N145" i="6"/>
  <c r="M146" i="6"/>
  <c r="U28" i="6"/>
  <c r="H146" i="6" l="1"/>
  <c r="K146" i="6" s="1"/>
  <c r="O146" i="6" l="1"/>
  <c r="J147" i="6"/>
  <c r="H147" i="6" s="1"/>
  <c r="L146" i="6"/>
  <c r="M147" i="6" l="1"/>
  <c r="N146" i="6"/>
  <c r="K147" i="6"/>
  <c r="L147" i="6"/>
  <c r="O147" i="6" l="1"/>
  <c r="J148" i="6"/>
  <c r="H148" i="6" s="1"/>
  <c r="M148" i="6"/>
  <c r="N147" i="6"/>
  <c r="K148" i="6" l="1"/>
  <c r="L148" i="6"/>
  <c r="M149" i="6" l="1"/>
  <c r="N148" i="6"/>
  <c r="O148" i="6"/>
  <c r="J149" i="6"/>
  <c r="H149" i="6" s="1"/>
  <c r="K149" i="6" l="1"/>
  <c r="L149" i="6"/>
  <c r="N149" i="6" l="1"/>
  <c r="M150" i="6"/>
  <c r="O149" i="6"/>
  <c r="J150" i="6"/>
  <c r="H150" i="6" s="1"/>
  <c r="K150" i="6" l="1"/>
  <c r="L150" i="6"/>
  <c r="M151" i="6" l="1"/>
  <c r="N150" i="6"/>
  <c r="O150" i="6"/>
  <c r="J151" i="6"/>
  <c r="L151" i="6" l="1"/>
  <c r="K151" i="6"/>
  <c r="J152" i="6" l="1"/>
  <c r="O151" i="6"/>
  <c r="M152" i="6"/>
  <c r="N151" i="6"/>
  <c r="K152" i="6" l="1"/>
  <c r="L152" i="6"/>
  <c r="M153" i="6" l="1"/>
  <c r="N152" i="6"/>
  <c r="J153" i="6"/>
  <c r="O152" i="6"/>
  <c r="H153" i="6" l="1"/>
  <c r="K153" i="6" s="1"/>
  <c r="J154" i="6" l="1"/>
  <c r="O153" i="6"/>
  <c r="L153" i="6"/>
  <c r="M154" i="6" l="1"/>
  <c r="N153" i="6"/>
  <c r="H154" i="6"/>
  <c r="L154" i="6" s="1"/>
  <c r="K154" i="6" l="1"/>
  <c r="M155" i="6"/>
  <c r="N154" i="6"/>
  <c r="J155" i="6" l="1"/>
  <c r="O154" i="6"/>
  <c r="H155" i="6" l="1"/>
  <c r="L155" i="6" s="1"/>
  <c r="K155" i="6" l="1"/>
  <c r="N155" i="6"/>
  <c r="M156" i="6"/>
  <c r="J156" i="6" l="1"/>
  <c r="H156" i="6" s="1"/>
  <c r="O155" i="6"/>
  <c r="K156" i="6" l="1"/>
  <c r="L156" i="6"/>
  <c r="M157" i="6" l="1"/>
  <c r="N156" i="6"/>
  <c r="J157" i="6"/>
  <c r="O156" i="6"/>
  <c r="H157" i="6" l="1"/>
  <c r="K157" i="6" s="1"/>
  <c r="J158" i="6" l="1"/>
  <c r="O157" i="6"/>
  <c r="L157" i="6"/>
  <c r="Q29" i="6"/>
  <c r="M158" i="6" l="1"/>
  <c r="N157" i="6"/>
  <c r="L158" i="6"/>
  <c r="K158" i="6"/>
  <c r="J159" i="6" l="1"/>
  <c r="O158" i="6"/>
  <c r="M159" i="6"/>
  <c r="N158" i="6"/>
  <c r="S29" i="6" l="1"/>
  <c r="K159" i="6"/>
  <c r="L159" i="6"/>
  <c r="M160" i="6" l="1"/>
  <c r="N159" i="6"/>
  <c r="U29" i="6"/>
  <c r="O159" i="6"/>
  <c r="J160" i="6"/>
  <c r="T29" i="6"/>
  <c r="H160" i="6" l="1"/>
  <c r="K160" i="6" s="1"/>
  <c r="O160" i="6" l="1"/>
  <c r="J161" i="6"/>
  <c r="H161" i="6" s="1"/>
  <c r="L160" i="6"/>
  <c r="M161" i="6" l="1"/>
  <c r="N160" i="6"/>
  <c r="K161" i="6"/>
  <c r="L161" i="6"/>
  <c r="O161" i="6" l="1"/>
  <c r="J162" i="6"/>
  <c r="H162" i="6" s="1"/>
  <c r="M162" i="6"/>
  <c r="N161" i="6"/>
  <c r="K162" i="6" l="1"/>
  <c r="L162" i="6"/>
  <c r="N162" i="6" l="1"/>
  <c r="M163" i="6"/>
  <c r="O162" i="6"/>
  <c r="J163" i="6"/>
  <c r="H163" i="6" s="1"/>
  <c r="K163" i="6" l="1"/>
  <c r="L163" i="6"/>
  <c r="N163" i="6" l="1"/>
  <c r="M164" i="6"/>
  <c r="O163" i="6"/>
  <c r="J164" i="6"/>
  <c r="H164" i="6" s="1"/>
  <c r="K164" i="6" l="1"/>
  <c r="L164" i="6"/>
  <c r="N164" i="6" l="1"/>
  <c r="M165" i="6"/>
  <c r="O164" i="6"/>
  <c r="J165" i="6"/>
  <c r="L165" i="6" l="1"/>
  <c r="K165" i="6"/>
  <c r="J166" i="6" l="1"/>
  <c r="O165" i="6"/>
  <c r="M166" i="6"/>
  <c r="N165" i="6"/>
  <c r="K166" i="6" l="1"/>
  <c r="L166" i="6"/>
  <c r="N166" i="6" l="1"/>
  <c r="M167" i="6"/>
  <c r="J167" i="6"/>
  <c r="O166" i="6"/>
  <c r="H214" i="11"/>
  <c r="H207" i="11"/>
  <c r="H116" i="11"/>
  <c r="H109" i="11"/>
  <c r="H30" i="11"/>
  <c r="H29" i="11"/>
  <c r="H23" i="11"/>
  <c r="H22" i="11"/>
  <c r="H21" i="11"/>
  <c r="K21" i="11" l="1"/>
  <c r="J22" i="11" s="1"/>
  <c r="H167" i="6"/>
  <c r="K167" i="6" s="1"/>
  <c r="L21" i="11"/>
  <c r="J168" i="6" l="1"/>
  <c r="O167" i="6"/>
  <c r="L167" i="6"/>
  <c r="M22" i="11"/>
  <c r="L22" i="11"/>
  <c r="M23" i="11" s="1"/>
  <c r="K22" i="11"/>
  <c r="M168" i="6" l="1"/>
  <c r="N167" i="6"/>
  <c r="H168" i="6"/>
  <c r="K168" i="6" s="1"/>
  <c r="J23" i="11"/>
  <c r="J169" i="6" l="1"/>
  <c r="O168" i="6"/>
  <c r="L168" i="6"/>
  <c r="L23" i="11"/>
  <c r="K23" i="11"/>
  <c r="M169" i="6" l="1"/>
  <c r="N168" i="6"/>
  <c r="H169" i="6"/>
  <c r="K169" i="6" s="1"/>
  <c r="J24" i="11"/>
  <c r="M24" i="11"/>
  <c r="J170" i="6" l="1"/>
  <c r="O169" i="6"/>
  <c r="L169" i="6"/>
  <c r="L24" i="11"/>
  <c r="K24" i="11"/>
  <c r="M170" i="6" l="1"/>
  <c r="N169" i="6"/>
  <c r="H170" i="6"/>
  <c r="K170" i="6" s="1"/>
  <c r="J25" i="11"/>
  <c r="M25" i="11"/>
  <c r="J171" i="6" l="1"/>
  <c r="O170" i="6"/>
  <c r="L170" i="6"/>
  <c r="L25" i="11"/>
  <c r="K25" i="11"/>
  <c r="M171" i="6" l="1"/>
  <c r="N170" i="6"/>
  <c r="H171" i="6"/>
  <c r="K171" i="6" s="1"/>
  <c r="J26" i="11"/>
  <c r="M26" i="11"/>
  <c r="J172" i="6" l="1"/>
  <c r="O171" i="6"/>
  <c r="L171" i="6"/>
  <c r="Q30" i="6"/>
  <c r="L26" i="11"/>
  <c r="M27" i="11" s="1"/>
  <c r="K26" i="11"/>
  <c r="J27" i="11" s="1"/>
  <c r="N171" i="6" l="1"/>
  <c r="M172" i="6"/>
  <c r="K172" i="6"/>
  <c r="L172" i="6"/>
  <c r="H27" i="11"/>
  <c r="K27" i="11" l="1"/>
  <c r="J28" i="11" s="1"/>
  <c r="H28" i="11" s="1"/>
  <c r="L28" i="11" s="1"/>
  <c r="M29" i="11" s="1"/>
  <c r="N172" i="6"/>
  <c r="M173" i="6"/>
  <c r="J173" i="6"/>
  <c r="O172" i="6"/>
  <c r="L27" i="11"/>
  <c r="M28" i="11" s="1"/>
  <c r="S30" i="6" l="1"/>
  <c r="K173" i="6"/>
  <c r="L173" i="6"/>
  <c r="P20" i="11"/>
  <c r="K28" i="11"/>
  <c r="J29" i="11" s="1"/>
  <c r="M174" i="6" l="1"/>
  <c r="N173" i="6"/>
  <c r="U30" i="6"/>
  <c r="T30" i="6"/>
  <c r="O173" i="6"/>
  <c r="J174" i="6"/>
  <c r="L29" i="11"/>
  <c r="M30" i="11" s="1"/>
  <c r="K29" i="11"/>
  <c r="J30" i="11" s="1"/>
  <c r="H174" i="6" l="1"/>
  <c r="K174" i="6" s="1"/>
  <c r="L30" i="11"/>
  <c r="M31" i="11" s="1"/>
  <c r="K30" i="11"/>
  <c r="J31" i="11" s="1"/>
  <c r="O174" i="6" l="1"/>
  <c r="J175" i="6"/>
  <c r="L174" i="6"/>
  <c r="L31" i="11"/>
  <c r="M32" i="11" s="1"/>
  <c r="K31" i="11"/>
  <c r="J32" i="11" s="1"/>
  <c r="M175" i="6" l="1"/>
  <c r="N174" i="6"/>
  <c r="H175" i="6"/>
  <c r="L32" i="11"/>
  <c r="M33" i="11" s="1"/>
  <c r="K32" i="11"/>
  <c r="J33" i="11" s="1"/>
  <c r="K175" i="6" l="1"/>
  <c r="L175" i="6"/>
  <c r="L33" i="11"/>
  <c r="K33" i="11"/>
  <c r="R20" i="11"/>
  <c r="M176" i="6" l="1"/>
  <c r="N175" i="6"/>
  <c r="O175" i="6"/>
  <c r="J176" i="6"/>
  <c r="J34" i="11"/>
  <c r="S20" i="11"/>
  <c r="M34" i="11"/>
  <c r="T20" i="11"/>
  <c r="H176" i="6" l="1"/>
  <c r="K176" i="6" s="1"/>
  <c r="H34" i="11"/>
  <c r="K34" i="11" l="1"/>
  <c r="J35" i="11" s="1"/>
  <c r="O176" i="6"/>
  <c r="J177" i="6"/>
  <c r="L176" i="6"/>
  <c r="L34" i="11"/>
  <c r="N176" i="6" l="1"/>
  <c r="M177" i="6"/>
  <c r="H177" i="6"/>
  <c r="M35" i="11"/>
  <c r="H35" i="11"/>
  <c r="K35" i="11" l="1"/>
  <c r="J36" i="11" s="1"/>
  <c r="L177" i="6"/>
  <c r="K177" i="6"/>
  <c r="L35" i="11"/>
  <c r="O177" i="6" l="1"/>
  <c r="J178" i="6"/>
  <c r="M178" i="6"/>
  <c r="N177" i="6"/>
  <c r="M36" i="11"/>
  <c r="H36" i="11"/>
  <c r="K36" i="11" l="1"/>
  <c r="J37" i="11" s="1"/>
  <c r="H178" i="6"/>
  <c r="K178" i="6" s="1"/>
  <c r="L36" i="11"/>
  <c r="O178" i="6" l="1"/>
  <c r="J179" i="6"/>
  <c r="L178" i="6"/>
  <c r="M37" i="11"/>
  <c r="L37" i="11"/>
  <c r="M38" i="11" s="1"/>
  <c r="K37" i="11"/>
  <c r="N178" i="6" l="1"/>
  <c r="M179" i="6"/>
  <c r="H179" i="6"/>
  <c r="L179" i="6" s="1"/>
  <c r="J38" i="11"/>
  <c r="M180" i="6" l="1"/>
  <c r="N179" i="6"/>
  <c r="K179" i="6"/>
  <c r="L38" i="11"/>
  <c r="K38" i="11"/>
  <c r="J180" i="6" l="1"/>
  <c r="O179" i="6"/>
  <c r="J39" i="11"/>
  <c r="M39" i="11"/>
  <c r="L180" i="6" l="1"/>
  <c r="K180" i="6"/>
  <c r="L39" i="11"/>
  <c r="M40" i="11" s="1"/>
  <c r="K39" i="11"/>
  <c r="J40" i="11" s="1"/>
  <c r="J181" i="6" l="1"/>
  <c r="O180" i="6"/>
  <c r="M181" i="6"/>
  <c r="N180" i="6"/>
  <c r="L40" i="11"/>
  <c r="M41" i="11" s="1"/>
  <c r="K40" i="11"/>
  <c r="J41" i="11" s="1"/>
  <c r="H181" i="6" l="1"/>
  <c r="L181" i="6" s="1"/>
  <c r="H41" i="11"/>
  <c r="K41" i="11" s="1"/>
  <c r="J42" i="11" s="1"/>
  <c r="K181" i="6" l="1"/>
  <c r="J182" i="6" s="1"/>
  <c r="M182" i="6"/>
  <c r="N181" i="6"/>
  <c r="H42" i="11"/>
  <c r="L42" i="11" s="1"/>
  <c r="M43" i="11" s="1"/>
  <c r="L41" i="11"/>
  <c r="M42" i="11" s="1"/>
  <c r="O181" i="6" l="1"/>
  <c r="H182" i="6"/>
  <c r="L182" i="6" s="1"/>
  <c r="K42" i="11"/>
  <c r="J43" i="11" s="1"/>
  <c r="K182" i="6" l="1"/>
  <c r="J183" i="6" s="1"/>
  <c r="O182" i="6"/>
  <c r="M183" i="6"/>
  <c r="N182" i="6"/>
  <c r="H43" i="11"/>
  <c r="K43" i="11" s="1"/>
  <c r="J44" i="11" s="1"/>
  <c r="H183" i="6" l="1"/>
  <c r="L183" i="6" s="1"/>
  <c r="L44" i="11"/>
  <c r="M45" i="11" s="1"/>
  <c r="K44" i="11"/>
  <c r="J45" i="11" s="1"/>
  <c r="L43" i="11"/>
  <c r="M44" i="11" s="1"/>
  <c r="P21" i="11"/>
  <c r="K183" i="6" l="1"/>
  <c r="J184" i="6" s="1"/>
  <c r="M184" i="6"/>
  <c r="N183" i="6"/>
  <c r="L45" i="11"/>
  <c r="M46" i="11" s="1"/>
  <c r="K45" i="11"/>
  <c r="J46" i="11" s="1"/>
  <c r="O183" i="6" l="1"/>
  <c r="H184" i="6"/>
  <c r="L184" i="6" s="1"/>
  <c r="L46" i="11"/>
  <c r="M47" i="11" s="1"/>
  <c r="K46" i="11"/>
  <c r="J47" i="11" s="1"/>
  <c r="K184" i="6" l="1"/>
  <c r="N184" i="6"/>
  <c r="M185" i="6"/>
  <c r="L47" i="11"/>
  <c r="K47" i="11"/>
  <c r="R21" i="11"/>
  <c r="J185" i="6" l="1"/>
  <c r="O184" i="6"/>
  <c r="J48" i="11"/>
  <c r="S21" i="11"/>
  <c r="M48" i="11"/>
  <c r="T21" i="11"/>
  <c r="H185" i="6" l="1"/>
  <c r="L185" i="6" s="1"/>
  <c r="H48" i="11"/>
  <c r="K48" i="11" s="1"/>
  <c r="K185" i="6" l="1"/>
  <c r="J186" i="6" s="1"/>
  <c r="H186" i="6" s="1"/>
  <c r="N185" i="6"/>
  <c r="M186" i="6"/>
  <c r="J49" i="11"/>
  <c r="L48" i="11"/>
  <c r="O185" i="6" l="1"/>
  <c r="K186" i="6"/>
  <c r="L186" i="6"/>
  <c r="Q31" i="6"/>
  <c r="M49" i="11"/>
  <c r="H49" i="11"/>
  <c r="K49" i="11" s="1"/>
  <c r="N186" i="6" l="1"/>
  <c r="M187" i="6"/>
  <c r="J187" i="6"/>
  <c r="O186" i="6"/>
  <c r="J50" i="11"/>
  <c r="L49" i="11"/>
  <c r="K187" i="6" l="1"/>
  <c r="L187" i="6"/>
  <c r="S31" i="6"/>
  <c r="M50" i="11"/>
  <c r="H50" i="11"/>
  <c r="M188" i="6" l="1"/>
  <c r="N187" i="6"/>
  <c r="U31" i="6"/>
  <c r="O187" i="6"/>
  <c r="J188" i="6"/>
  <c r="T31" i="6"/>
  <c r="L50" i="11"/>
  <c r="K50" i="11"/>
  <c r="H188" i="6" l="1"/>
  <c r="J51" i="11"/>
  <c r="M51" i="11"/>
  <c r="K188" i="6" l="1"/>
  <c r="L188" i="6"/>
  <c r="H51" i="11"/>
  <c r="K51" i="11" s="1"/>
  <c r="N188" i="6" l="1"/>
  <c r="M189" i="6"/>
  <c r="O188" i="6"/>
  <c r="J189" i="6"/>
  <c r="J52" i="11"/>
  <c r="L51" i="11"/>
  <c r="H189" i="6" l="1"/>
  <c r="M52" i="11"/>
  <c r="L52" i="11"/>
  <c r="M53" i="11" s="1"/>
  <c r="K52" i="11"/>
  <c r="K189" i="6" l="1"/>
  <c r="L189" i="6"/>
  <c r="J53" i="11"/>
  <c r="N189" i="6" l="1"/>
  <c r="M190" i="6"/>
  <c r="O189" i="6"/>
  <c r="J190" i="6"/>
  <c r="L53" i="11"/>
  <c r="K53" i="11"/>
  <c r="J54" i="11" s="1"/>
  <c r="H190" i="6" l="1"/>
  <c r="L54" i="11"/>
  <c r="M55" i="11" s="1"/>
  <c r="K54" i="11"/>
  <c r="J55" i="11" s="1"/>
  <c r="M54" i="11"/>
  <c r="K190" i="6" l="1"/>
  <c r="L190" i="6"/>
  <c r="H55" i="11"/>
  <c r="K55" i="11" s="1"/>
  <c r="J56" i="11" s="1"/>
  <c r="N190" i="6" l="1"/>
  <c r="M191" i="6"/>
  <c r="O190" i="6"/>
  <c r="J191" i="6"/>
  <c r="H56" i="11"/>
  <c r="L56" i="11" s="1"/>
  <c r="M57" i="11" s="1"/>
  <c r="L55" i="11"/>
  <c r="M56" i="11" s="1"/>
  <c r="H191" i="6" l="1"/>
  <c r="K56" i="11"/>
  <c r="J57" i="11" s="1"/>
  <c r="K191" i="6" l="1"/>
  <c r="L191" i="6"/>
  <c r="H57" i="11"/>
  <c r="L57" i="11" s="1"/>
  <c r="M58" i="11" s="1"/>
  <c r="N191" i="6" l="1"/>
  <c r="M192" i="6"/>
  <c r="O191" i="6"/>
  <c r="J192" i="6"/>
  <c r="K57" i="11"/>
  <c r="J58" i="11" s="1"/>
  <c r="H192" i="6" l="1"/>
  <c r="H58" i="11"/>
  <c r="K58" i="11" s="1"/>
  <c r="J59" i="11" s="1"/>
  <c r="K192" i="6" l="1"/>
  <c r="L192" i="6"/>
  <c r="L59" i="11"/>
  <c r="M60" i="11" s="1"/>
  <c r="K59" i="11"/>
  <c r="J60" i="11" s="1"/>
  <c r="L58" i="11"/>
  <c r="M59" i="11" s="1"/>
  <c r="P22" i="11"/>
  <c r="N192" i="6" l="1"/>
  <c r="M193" i="6"/>
  <c r="O192" i="6"/>
  <c r="J193" i="6"/>
  <c r="L60" i="11"/>
  <c r="M61" i="11" s="1"/>
  <c r="K60" i="11"/>
  <c r="J61" i="11" s="1"/>
  <c r="H193" i="6" l="1"/>
  <c r="L193" i="6" s="1"/>
  <c r="L61" i="11"/>
  <c r="K61" i="11"/>
  <c r="R22" i="11"/>
  <c r="K193" i="6" l="1"/>
  <c r="J194" i="6" s="1"/>
  <c r="M194" i="6"/>
  <c r="N193" i="6"/>
  <c r="J62" i="11"/>
  <c r="S22" i="11"/>
  <c r="M62" i="11"/>
  <c r="T22" i="11"/>
  <c r="O193" i="6" l="1"/>
  <c r="K194" i="6"/>
  <c r="L194" i="6"/>
  <c r="H62" i="11"/>
  <c r="K62" i="11" s="1"/>
  <c r="M195" i="6" l="1"/>
  <c r="N194" i="6"/>
  <c r="J195" i="6"/>
  <c r="O194" i="6"/>
  <c r="J63" i="11"/>
  <c r="L62" i="11"/>
  <c r="H195" i="6" l="1"/>
  <c r="L195" i="6" s="1"/>
  <c r="H63" i="11"/>
  <c r="K63" i="11" s="1"/>
  <c r="M63" i="11"/>
  <c r="K195" i="6" l="1"/>
  <c r="J196" i="6" s="1"/>
  <c r="N195" i="6"/>
  <c r="M196" i="6"/>
  <c r="J64" i="11"/>
  <c r="L63" i="11"/>
  <c r="O195" i="6" l="1"/>
  <c r="H196" i="6"/>
  <c r="L196" i="6" s="1"/>
  <c r="M64" i="11"/>
  <c r="H64" i="11"/>
  <c r="K64" i="11" s="1"/>
  <c r="K196" i="6" l="1"/>
  <c r="O196" i="6" s="1"/>
  <c r="J197" i="6"/>
  <c r="N196" i="6"/>
  <c r="M197" i="6"/>
  <c r="J65" i="11"/>
  <c r="L64" i="11"/>
  <c r="H197" i="6" l="1"/>
  <c r="L197" i="6" s="1"/>
  <c r="M65" i="11"/>
  <c r="H65" i="11"/>
  <c r="K197" i="6" l="1"/>
  <c r="N197" i="6"/>
  <c r="M198" i="6"/>
  <c r="L65" i="11"/>
  <c r="K65" i="11"/>
  <c r="O197" i="6" l="1"/>
  <c r="J198" i="6"/>
  <c r="J66" i="11"/>
  <c r="M66" i="11"/>
  <c r="H198" i="6" l="1"/>
  <c r="L198" i="6" s="1"/>
  <c r="L66" i="11"/>
  <c r="K66" i="11"/>
  <c r="K198" i="6" l="1"/>
  <c r="N198" i="6"/>
  <c r="M199" i="6"/>
  <c r="J67" i="11"/>
  <c r="M67" i="11"/>
  <c r="J199" i="6" l="1"/>
  <c r="O198" i="6"/>
  <c r="L67" i="11"/>
  <c r="M68" i="11" s="1"/>
  <c r="K67" i="11"/>
  <c r="J68" i="11" s="1"/>
  <c r="H199" i="6" l="1"/>
  <c r="L199" i="6" s="1"/>
  <c r="L68" i="11"/>
  <c r="M69" i="11" s="1"/>
  <c r="K68" i="11"/>
  <c r="J69" i="11" s="1"/>
  <c r="K199" i="6" l="1"/>
  <c r="J200" i="6" s="1"/>
  <c r="M200" i="6"/>
  <c r="N199" i="6"/>
  <c r="H69" i="11"/>
  <c r="O199" i="6" l="1"/>
  <c r="H200" i="6"/>
  <c r="K200" i="6" s="1"/>
  <c r="L69" i="11"/>
  <c r="M70" i="11" s="1"/>
  <c r="K69" i="11"/>
  <c r="J70" i="11" s="1"/>
  <c r="J201" i="6" l="1"/>
  <c r="O200" i="6"/>
  <c r="Q32" i="6"/>
  <c r="L200" i="6"/>
  <c r="H70" i="11"/>
  <c r="L70" i="11" s="1"/>
  <c r="M71" i="11" s="1"/>
  <c r="M201" i="6" l="1"/>
  <c r="N200" i="6"/>
  <c r="L201" i="6"/>
  <c r="K201" i="6"/>
  <c r="S32" i="6"/>
  <c r="K70" i="11"/>
  <c r="J71" i="11" s="1"/>
  <c r="T32" i="6" l="1"/>
  <c r="O201" i="6"/>
  <c r="J202" i="6"/>
  <c r="M202" i="6"/>
  <c r="N201" i="6"/>
  <c r="U32" i="6"/>
  <c r="H71" i="11"/>
  <c r="L71" i="11" s="1"/>
  <c r="M72" i="11" s="1"/>
  <c r="H202" i="6" l="1"/>
  <c r="K202" i="6" s="1"/>
  <c r="K71" i="11"/>
  <c r="J72" i="11" s="1"/>
  <c r="O202" i="6" l="1"/>
  <c r="J203" i="6"/>
  <c r="L202" i="6"/>
  <c r="H72" i="11"/>
  <c r="K72" i="11" s="1"/>
  <c r="J73" i="11" s="1"/>
  <c r="M203" i="6" l="1"/>
  <c r="N202" i="6"/>
  <c r="H203" i="6"/>
  <c r="L73" i="11"/>
  <c r="M74" i="11" s="1"/>
  <c r="K73" i="11"/>
  <c r="J74" i="11" s="1"/>
  <c r="L72" i="11"/>
  <c r="M73" i="11" s="1"/>
  <c r="P23" i="11"/>
  <c r="K203" i="6" l="1"/>
  <c r="L203" i="6"/>
  <c r="L74" i="11"/>
  <c r="M75" i="11" s="1"/>
  <c r="K74" i="11"/>
  <c r="J75" i="11" s="1"/>
  <c r="M204" i="6" l="1"/>
  <c r="N203" i="6"/>
  <c r="O203" i="6"/>
  <c r="J204" i="6"/>
  <c r="L75" i="11"/>
  <c r="K75" i="11"/>
  <c r="R23" i="11"/>
  <c r="H204" i="6" l="1"/>
  <c r="J76" i="11"/>
  <c r="S23" i="11"/>
  <c r="M76" i="11"/>
  <c r="T23" i="11"/>
  <c r="K204" i="6" l="1"/>
  <c r="L204" i="6"/>
  <c r="H76" i="11"/>
  <c r="K76" i="11" s="1"/>
  <c r="M205" i="6" l="1"/>
  <c r="N204" i="6"/>
  <c r="J205" i="6"/>
  <c r="O204" i="6"/>
  <c r="J77" i="11"/>
  <c r="L76" i="11"/>
  <c r="H205" i="6" l="1"/>
  <c r="K205" i="6" s="1"/>
  <c r="M77" i="11"/>
  <c r="H77" i="11"/>
  <c r="K77" i="11" s="1"/>
  <c r="O205" i="6" l="1"/>
  <c r="J206" i="6"/>
  <c r="L205" i="6"/>
  <c r="J78" i="11"/>
  <c r="L77" i="11"/>
  <c r="N205" i="6" l="1"/>
  <c r="M206" i="6"/>
  <c r="H206" i="6"/>
  <c r="M78" i="11"/>
  <c r="H78" i="11"/>
  <c r="K78" i="11" s="1"/>
  <c r="K206" i="6" l="1"/>
  <c r="L206" i="6"/>
  <c r="J79" i="11"/>
  <c r="L78" i="11"/>
  <c r="N206" i="6" l="1"/>
  <c r="M207" i="6"/>
  <c r="O206" i="6"/>
  <c r="J207" i="6"/>
  <c r="M79" i="11"/>
  <c r="H79" i="11"/>
  <c r="K79" i="11" s="1"/>
  <c r="H207" i="6" l="1"/>
  <c r="L207" i="6" s="1"/>
  <c r="J80" i="11"/>
  <c r="L79" i="11"/>
  <c r="K207" i="6" l="1"/>
  <c r="N207" i="6"/>
  <c r="M208" i="6"/>
  <c r="M80" i="11"/>
  <c r="H80" i="11"/>
  <c r="O207" i="6" l="1"/>
  <c r="J208" i="6"/>
  <c r="L80" i="11"/>
  <c r="K80" i="11"/>
  <c r="K208" i="6" l="1"/>
  <c r="L208" i="6"/>
  <c r="J81" i="11"/>
  <c r="M81" i="11"/>
  <c r="N208" i="6" l="1"/>
  <c r="M209" i="6"/>
  <c r="O208" i="6"/>
  <c r="J209" i="6"/>
  <c r="L81" i="11"/>
  <c r="M82" i="11" s="1"/>
  <c r="K81" i="11"/>
  <c r="J82" i="11" s="1"/>
  <c r="H209" i="6" l="1"/>
  <c r="L209" i="6" s="1"/>
  <c r="L82" i="11"/>
  <c r="M83" i="11" s="1"/>
  <c r="K82" i="11"/>
  <c r="J83" i="11" s="1"/>
  <c r="K209" i="6" l="1"/>
  <c r="N209" i="6"/>
  <c r="M210" i="6"/>
  <c r="H83" i="11"/>
  <c r="L83" i="11" s="1"/>
  <c r="M84" i="11" s="1"/>
  <c r="J210" i="6" l="1"/>
  <c r="O209" i="6"/>
  <c r="K83" i="11"/>
  <c r="J84" i="11" s="1"/>
  <c r="H210" i="6" l="1"/>
  <c r="L210" i="6" s="1"/>
  <c r="H84" i="11"/>
  <c r="L84" i="11" s="1"/>
  <c r="M85" i="11" s="1"/>
  <c r="K210" i="6" l="1"/>
  <c r="M211" i="6"/>
  <c r="N210" i="6"/>
  <c r="K84" i="11"/>
  <c r="J85" i="11" s="1"/>
  <c r="J211" i="6" l="1"/>
  <c r="O210" i="6"/>
  <c r="H85" i="11"/>
  <c r="L85" i="11" s="1"/>
  <c r="M86" i="11" s="1"/>
  <c r="H211" i="6" l="1"/>
  <c r="L211" i="6" s="1"/>
  <c r="K85" i="11"/>
  <c r="J86" i="11" s="1"/>
  <c r="K211" i="6" l="1"/>
  <c r="M212" i="6"/>
  <c r="N211" i="6"/>
  <c r="H86" i="11"/>
  <c r="L86" i="11" s="1"/>
  <c r="M87" i="11" s="1"/>
  <c r="J212" i="6" l="1"/>
  <c r="O211" i="6"/>
  <c r="K86" i="11"/>
  <c r="J87" i="11" s="1"/>
  <c r="H212" i="6" l="1"/>
  <c r="L212" i="6" s="1"/>
  <c r="H87" i="11"/>
  <c r="K87" i="11" s="1"/>
  <c r="J88" i="11" s="1"/>
  <c r="K212" i="6" l="1"/>
  <c r="N212" i="6"/>
  <c r="M213" i="6"/>
  <c r="L88" i="11"/>
  <c r="M89" i="11" s="1"/>
  <c r="K88" i="11"/>
  <c r="J89" i="11" s="1"/>
  <c r="L87" i="11"/>
  <c r="M88" i="11" s="1"/>
  <c r="P24" i="11"/>
  <c r="J213" i="6" l="1"/>
  <c r="O212" i="6"/>
  <c r="L89" i="11"/>
  <c r="K89" i="11"/>
  <c r="R24" i="11"/>
  <c r="H213" i="6" l="1"/>
  <c r="L213" i="6" s="1"/>
  <c r="J90" i="11"/>
  <c r="S24" i="11"/>
  <c r="M90" i="11"/>
  <c r="T24" i="11"/>
  <c r="K213" i="6" l="1"/>
  <c r="J214" i="6" s="1"/>
  <c r="M214" i="6"/>
  <c r="N213" i="6"/>
  <c r="H90" i="11"/>
  <c r="K90" i="11" s="1"/>
  <c r="O213" i="6" l="1"/>
  <c r="H214" i="6"/>
  <c r="K214" i="6" s="1"/>
  <c r="J91" i="11"/>
  <c r="L90" i="11"/>
  <c r="J215" i="6" l="1"/>
  <c r="O214" i="6"/>
  <c r="H8" i="6"/>
  <c r="L214" i="6"/>
  <c r="H5" i="6"/>
  <c r="H4" i="6"/>
  <c r="H7" i="6"/>
  <c r="Q33" i="6"/>
  <c r="M91" i="11"/>
  <c r="H91" i="11"/>
  <c r="K91" i="11" s="1"/>
  <c r="M215" i="6" l="1"/>
  <c r="N214" i="6"/>
  <c r="K215" i="6"/>
  <c r="L215" i="6"/>
  <c r="S33" i="6"/>
  <c r="J92" i="11"/>
  <c r="L91" i="11"/>
  <c r="N215" i="6" l="1"/>
  <c r="R10" i="6" s="1"/>
  <c r="J38" i="1" s="1"/>
  <c r="H6" i="6"/>
  <c r="K10" i="6"/>
  <c r="J30" i="1" s="1"/>
  <c r="U33" i="6"/>
  <c r="T33" i="6"/>
  <c r="O215" i="6"/>
  <c r="K9" i="6"/>
  <c r="J28" i="1" s="1"/>
  <c r="K7" i="6"/>
  <c r="K4" i="6"/>
  <c r="K6" i="6"/>
  <c r="K5" i="6"/>
  <c r="M92" i="11"/>
  <c r="H92" i="11"/>
  <c r="K92" i="11" s="1"/>
  <c r="J26" i="1" l="1"/>
  <c r="K8" i="6"/>
  <c r="J93" i="11"/>
  <c r="L92" i="11"/>
  <c r="M93" i="11" l="1"/>
  <c r="H93" i="11"/>
  <c r="K93" i="11" s="1"/>
  <c r="J94" i="11" l="1"/>
  <c r="L93" i="11"/>
  <c r="M94" i="11" l="1"/>
  <c r="H94" i="11"/>
  <c r="K94" i="11" s="1"/>
  <c r="J95" i="11" l="1"/>
  <c r="L94" i="11"/>
  <c r="M95" i="11" l="1"/>
  <c r="H95" i="11"/>
  <c r="L95" i="11" s="1"/>
  <c r="M96" i="11" s="1"/>
  <c r="K95" i="11" l="1"/>
  <c r="J96" i="11" s="1"/>
  <c r="L96" i="11" l="1"/>
  <c r="M97" i="11" s="1"/>
  <c r="K96" i="11"/>
  <c r="J97" i="11" s="1"/>
  <c r="H97" i="11" l="1"/>
  <c r="L97" i="11" s="1"/>
  <c r="M98" i="11" s="1"/>
  <c r="K97" i="11" l="1"/>
  <c r="J98" i="11" s="1"/>
  <c r="H98" i="11" l="1"/>
  <c r="L98" i="11" s="1"/>
  <c r="M99" i="11" s="1"/>
  <c r="K98" i="11" l="1"/>
  <c r="J99" i="11" s="1"/>
  <c r="H99" i="11" l="1"/>
  <c r="L99" i="11" s="1"/>
  <c r="M100" i="11" s="1"/>
  <c r="K99" i="11" l="1"/>
  <c r="J100" i="11" s="1"/>
  <c r="H100" i="11" l="1"/>
  <c r="L100" i="11" s="1"/>
  <c r="M101" i="11" s="1"/>
  <c r="K100" i="11" l="1"/>
  <c r="J101" i="11" s="1"/>
  <c r="H101" i="11" l="1"/>
  <c r="L101" i="11" s="1"/>
  <c r="M102" i="11" s="1"/>
  <c r="K101" i="11" l="1"/>
  <c r="J102" i="11" s="1"/>
  <c r="H102" i="11" l="1"/>
  <c r="K102" i="11" s="1"/>
  <c r="J103" i="11" s="1"/>
  <c r="L103" i="11" l="1"/>
  <c r="K103" i="11"/>
  <c r="R25" i="11"/>
  <c r="L102" i="11"/>
  <c r="M103" i="11" s="1"/>
  <c r="P25" i="11"/>
  <c r="J104" i="11" l="1"/>
  <c r="S25" i="11"/>
  <c r="M104" i="11"/>
  <c r="T25" i="11"/>
  <c r="H104" i="11" l="1"/>
  <c r="L104" i="11" l="1"/>
  <c r="K104" i="11"/>
  <c r="J105" i="11" l="1"/>
  <c r="M105" i="11"/>
  <c r="H105" i="11" l="1"/>
  <c r="K105" i="11" s="1"/>
  <c r="J106" i="11" l="1"/>
  <c r="L105" i="11"/>
  <c r="M106" i="11" l="1"/>
  <c r="H106" i="11"/>
  <c r="K106" i="11" s="1"/>
  <c r="J107" i="11" l="1"/>
  <c r="L106" i="11"/>
  <c r="M107" i="11" l="1"/>
  <c r="H107" i="11"/>
  <c r="K107" i="11" s="1"/>
  <c r="J108" i="11" l="1"/>
  <c r="L107" i="11"/>
  <c r="M108" i="11" l="1"/>
  <c r="H108" i="11"/>
  <c r="K108" i="11" s="1"/>
  <c r="J109" i="11" l="1"/>
  <c r="L108" i="11"/>
  <c r="M109" i="11" l="1"/>
  <c r="L109" i="11"/>
  <c r="M110" i="11" s="1"/>
  <c r="K109" i="11"/>
  <c r="J110" i="11" s="1"/>
  <c r="L110" i="11" l="1"/>
  <c r="M111" i="11" s="1"/>
  <c r="K110" i="11"/>
  <c r="J111" i="11" s="1"/>
  <c r="H111" i="11" l="1"/>
  <c r="L111" i="11" s="1"/>
  <c r="M112" i="11" s="1"/>
  <c r="K111" i="11" l="1"/>
  <c r="J112" i="11" s="1"/>
  <c r="H112" i="11" l="1"/>
  <c r="L112" i="11" s="1"/>
  <c r="M113" i="11" s="1"/>
  <c r="K112" i="11" l="1"/>
  <c r="J113" i="11" s="1"/>
  <c r="H113" i="11" l="1"/>
  <c r="L113" i="11" s="1"/>
  <c r="M114" i="11" s="1"/>
  <c r="K113" i="11" l="1"/>
  <c r="J114" i="11" s="1"/>
  <c r="H114" i="11" l="1"/>
  <c r="L114" i="11" s="1"/>
  <c r="M115" i="11" s="1"/>
  <c r="K114" i="11" l="1"/>
  <c r="J115" i="11" s="1"/>
  <c r="H115" i="11" l="1"/>
  <c r="K115" i="11" s="1"/>
  <c r="J116" i="11" s="1"/>
  <c r="L116" i="11" l="1"/>
  <c r="M117" i="11" s="1"/>
  <c r="K116" i="11"/>
  <c r="J117" i="11" s="1"/>
  <c r="L115" i="11"/>
  <c r="M116" i="11" s="1"/>
  <c r="P26" i="11"/>
  <c r="L117" i="11" l="1"/>
  <c r="K117" i="11"/>
  <c r="R26" i="11"/>
  <c r="J118" i="11" l="1"/>
  <c r="S26" i="11"/>
  <c r="M118" i="11"/>
  <c r="T26" i="11"/>
  <c r="H118" i="11" l="1"/>
  <c r="L118" i="11" l="1"/>
  <c r="K118" i="11"/>
  <c r="J119" i="11" l="1"/>
  <c r="M119" i="11"/>
  <c r="H119" i="11" l="1"/>
  <c r="K119" i="11" s="1"/>
  <c r="J120" i="11" l="1"/>
  <c r="L119" i="11"/>
  <c r="M120" i="11" l="1"/>
  <c r="H120" i="11"/>
  <c r="K120" i="11" s="1"/>
  <c r="J121" i="11" l="1"/>
  <c r="L120" i="11"/>
  <c r="M121" i="11" l="1"/>
  <c r="H121" i="11"/>
  <c r="K121" i="11" s="1"/>
  <c r="J122" i="11" l="1"/>
  <c r="L121" i="11"/>
  <c r="M122" i="11" l="1"/>
  <c r="H122" i="11"/>
  <c r="K122" i="11" s="1"/>
  <c r="J123" i="11" l="1"/>
  <c r="L122" i="11"/>
  <c r="M123" i="11" l="1"/>
  <c r="L123" i="11"/>
  <c r="M124" i="11" s="1"/>
  <c r="K123" i="11"/>
  <c r="J124" i="11" s="1"/>
  <c r="L124" i="11" l="1"/>
  <c r="M125" i="11" s="1"/>
  <c r="K124" i="11"/>
  <c r="J125" i="11" s="1"/>
  <c r="H125" i="11" l="1"/>
  <c r="L125" i="11" s="1"/>
  <c r="M126" i="11" s="1"/>
  <c r="K125" i="11" l="1"/>
  <c r="J126" i="11" s="1"/>
  <c r="H126" i="11" l="1"/>
  <c r="L126" i="11" s="1"/>
  <c r="M127" i="11" s="1"/>
  <c r="K126" i="11" l="1"/>
  <c r="J127" i="11" s="1"/>
  <c r="H127" i="11" l="1"/>
  <c r="L127" i="11" s="1"/>
  <c r="M128" i="11" s="1"/>
  <c r="K127" i="11" l="1"/>
  <c r="J128" i="11" s="1"/>
  <c r="H128" i="11" l="1"/>
  <c r="L128" i="11" s="1"/>
  <c r="M129" i="11" s="1"/>
  <c r="K128" i="11" l="1"/>
  <c r="J129" i="11" s="1"/>
  <c r="H129" i="11" l="1"/>
  <c r="K129" i="11" s="1"/>
  <c r="J130" i="11" s="1"/>
  <c r="L130" i="11" l="1"/>
  <c r="M131" i="11" s="1"/>
  <c r="K130" i="11"/>
  <c r="J131" i="11" s="1"/>
  <c r="L129" i="11"/>
  <c r="M130" i="11" s="1"/>
  <c r="P27" i="11"/>
  <c r="L131" i="11" l="1"/>
  <c r="K131" i="11"/>
  <c r="R27" i="11"/>
  <c r="J132" i="11" l="1"/>
  <c r="S27" i="11"/>
  <c r="M132" i="11"/>
  <c r="T27" i="11"/>
  <c r="H132" i="11" l="1"/>
  <c r="L132" i="11" l="1"/>
  <c r="K132" i="11"/>
  <c r="J133" i="11" l="1"/>
  <c r="M133" i="11"/>
  <c r="H133" i="11" l="1"/>
  <c r="K133" i="11" s="1"/>
  <c r="J134" i="11" l="1"/>
  <c r="L133" i="11"/>
  <c r="M134" i="11" l="1"/>
  <c r="H134" i="11"/>
  <c r="K134" i="11" s="1"/>
  <c r="J135" i="11" l="1"/>
  <c r="L134" i="11"/>
  <c r="M135" i="11" l="1"/>
  <c r="H135" i="11"/>
  <c r="K135" i="11" s="1"/>
  <c r="J136" i="11" l="1"/>
  <c r="L135" i="11"/>
  <c r="M136" i="11" l="1"/>
  <c r="H136" i="11"/>
  <c r="K136" i="11" s="1"/>
  <c r="J137" i="11" l="1"/>
  <c r="L136" i="11"/>
  <c r="M137" i="11" l="1"/>
  <c r="H137" i="11"/>
  <c r="L137" i="11" s="1"/>
  <c r="M138" i="11" s="1"/>
  <c r="K137" i="11" l="1"/>
  <c r="J138" i="11" s="1"/>
  <c r="L138" i="11" l="1"/>
  <c r="M139" i="11" s="1"/>
  <c r="K138" i="11"/>
  <c r="J139" i="11" s="1"/>
  <c r="H139" i="11" l="1"/>
  <c r="L139" i="11" s="1"/>
  <c r="M140" i="11" s="1"/>
  <c r="K139" i="11" l="1"/>
  <c r="J140" i="11" s="1"/>
  <c r="H140" i="11" l="1"/>
  <c r="L140" i="11" s="1"/>
  <c r="M141" i="11" s="1"/>
  <c r="K140" i="11" l="1"/>
  <c r="J141" i="11" s="1"/>
  <c r="H141" i="11" l="1"/>
  <c r="L141" i="11" s="1"/>
  <c r="M142" i="11" s="1"/>
  <c r="K141" i="11" l="1"/>
  <c r="J142" i="11" s="1"/>
  <c r="H142" i="11" l="1"/>
  <c r="L142" i="11" s="1"/>
  <c r="M143" i="11" s="1"/>
  <c r="K142" i="11" l="1"/>
  <c r="J143" i="11" s="1"/>
  <c r="H143" i="11" l="1"/>
  <c r="L143" i="11" s="1"/>
  <c r="M144" i="11" s="1"/>
  <c r="K143" i="11" l="1"/>
  <c r="J144" i="11" s="1"/>
  <c r="H144" i="11" l="1"/>
  <c r="K144" i="11" s="1"/>
  <c r="J145" i="11" s="1"/>
  <c r="L145" i="11" l="1"/>
  <c r="K145" i="11"/>
  <c r="R28" i="11"/>
  <c r="L144" i="11"/>
  <c r="M145" i="11" s="1"/>
  <c r="P28" i="11"/>
  <c r="J146" i="11" l="1"/>
  <c r="S28" i="11"/>
  <c r="M146" i="11"/>
  <c r="T28" i="11"/>
  <c r="H146" i="11" l="1"/>
  <c r="K146" i="11" s="1"/>
  <c r="J147" i="11" l="1"/>
  <c r="L146" i="11"/>
  <c r="M147" i="11" l="1"/>
  <c r="H147" i="11"/>
  <c r="K147" i="11" s="1"/>
  <c r="J148" i="11" l="1"/>
  <c r="L147" i="11"/>
  <c r="M148" i="11" l="1"/>
  <c r="H148" i="11"/>
  <c r="K148" i="11" s="1"/>
  <c r="J149" i="11" l="1"/>
  <c r="L148" i="11"/>
  <c r="M149" i="11" l="1"/>
  <c r="H149" i="11"/>
  <c r="L149" i="11" l="1"/>
  <c r="K149" i="11"/>
  <c r="M150" i="11" l="1"/>
  <c r="J150" i="11"/>
  <c r="H150" i="11" l="1"/>
  <c r="K150" i="11" s="1"/>
  <c r="J151" i="11" l="1"/>
  <c r="L150" i="11"/>
  <c r="M151" i="11" l="1"/>
  <c r="L151" i="11"/>
  <c r="M152" i="11" s="1"/>
  <c r="K151" i="11"/>
  <c r="J152" i="11" s="1"/>
  <c r="L152" i="11" l="1"/>
  <c r="M153" i="11" s="1"/>
  <c r="K152" i="11"/>
  <c r="J153" i="11" s="1"/>
  <c r="H153" i="11" l="1"/>
  <c r="L153" i="11" s="1"/>
  <c r="M154" i="11" s="1"/>
  <c r="K153" i="11" l="1"/>
  <c r="J154" i="11" s="1"/>
  <c r="H154" i="11" l="1"/>
  <c r="L154" i="11" s="1"/>
  <c r="M155" i="11" s="1"/>
  <c r="K154" i="11" l="1"/>
  <c r="J155" i="11" s="1"/>
  <c r="H155" i="11" l="1"/>
  <c r="L155" i="11" s="1"/>
  <c r="M156" i="11" s="1"/>
  <c r="K155" i="11" l="1"/>
  <c r="J156" i="11" s="1"/>
  <c r="H156" i="11" l="1"/>
  <c r="L156" i="11" s="1"/>
  <c r="M157" i="11" s="1"/>
  <c r="K156" i="11" l="1"/>
  <c r="J157" i="11" s="1"/>
  <c r="H157" i="11" l="1"/>
  <c r="K157" i="11" s="1"/>
  <c r="J158" i="11" s="1"/>
  <c r="L158" i="11" l="1"/>
  <c r="M159" i="11" s="1"/>
  <c r="K158" i="11"/>
  <c r="J159" i="11" s="1"/>
  <c r="L157" i="11"/>
  <c r="M158" i="11" s="1"/>
  <c r="P29" i="11"/>
  <c r="L159" i="11" l="1"/>
  <c r="K159" i="11"/>
  <c r="R29" i="11"/>
  <c r="J160" i="11" l="1"/>
  <c r="S29" i="11"/>
  <c r="M160" i="11"/>
  <c r="T29" i="11"/>
  <c r="H160" i="11" l="1"/>
  <c r="K160" i="11" s="1"/>
  <c r="J161" i="11" l="1"/>
  <c r="L160" i="11"/>
  <c r="M161" i="11" l="1"/>
  <c r="H161" i="11"/>
  <c r="K161" i="11" s="1"/>
  <c r="J162" i="11" l="1"/>
  <c r="L161" i="11"/>
  <c r="M162" i="11" l="1"/>
  <c r="H162" i="11"/>
  <c r="K162" i="11" s="1"/>
  <c r="J163" i="11" l="1"/>
  <c r="L162" i="11"/>
  <c r="M163" i="11" l="1"/>
  <c r="H163" i="11"/>
  <c r="K163" i="11" s="1"/>
  <c r="J164" i="11" l="1"/>
  <c r="L163" i="11"/>
  <c r="M164" i="11" l="1"/>
  <c r="H164" i="11"/>
  <c r="K164" i="11" s="1"/>
  <c r="J165" i="11" l="1"/>
  <c r="L164" i="11"/>
  <c r="M165" i="11" l="1"/>
  <c r="H165" i="11"/>
  <c r="L165" i="11" s="1"/>
  <c r="M166" i="11" s="1"/>
  <c r="K165" i="11" l="1"/>
  <c r="J166" i="11" s="1"/>
  <c r="L166" i="11" l="1"/>
  <c r="M167" i="11" s="1"/>
  <c r="K166" i="11"/>
  <c r="J167" i="11" s="1"/>
  <c r="H167" i="11" l="1"/>
  <c r="L167" i="11" s="1"/>
  <c r="M168" i="11" s="1"/>
  <c r="K167" i="11" l="1"/>
  <c r="J168" i="11" s="1"/>
  <c r="H168" i="11" l="1"/>
  <c r="L168" i="11" s="1"/>
  <c r="M169" i="11" s="1"/>
  <c r="K168" i="11" l="1"/>
  <c r="J169" i="11" s="1"/>
  <c r="H169" i="11" l="1"/>
  <c r="L169" i="11" s="1"/>
  <c r="M170" i="11" s="1"/>
  <c r="K169" i="11" l="1"/>
  <c r="J170" i="11" s="1"/>
  <c r="H170" i="11" l="1"/>
  <c r="L170" i="11" s="1"/>
  <c r="M171" i="11" s="1"/>
  <c r="K170" i="11" l="1"/>
  <c r="J171" i="11" s="1"/>
  <c r="H171" i="11" l="1"/>
  <c r="L171" i="11" s="1"/>
  <c r="M172" i="11" s="1"/>
  <c r="K171" i="11" l="1"/>
  <c r="J172" i="11" s="1"/>
  <c r="H172" i="11" l="1"/>
  <c r="K172" i="11" s="1"/>
  <c r="J173" i="11" s="1"/>
  <c r="L173" i="11" l="1"/>
  <c r="K173" i="11"/>
  <c r="R30" i="11"/>
  <c r="L172" i="11"/>
  <c r="M173" i="11" s="1"/>
  <c r="P30" i="11"/>
  <c r="J174" i="11" l="1"/>
  <c r="S30" i="11"/>
  <c r="M174" i="11"/>
  <c r="T30" i="11"/>
  <c r="H174" i="11" l="1"/>
  <c r="K174" i="11" s="1"/>
  <c r="J175" i="11" l="1"/>
  <c r="L174" i="11"/>
  <c r="M175" i="11" l="1"/>
  <c r="H175" i="11"/>
  <c r="K175" i="11" s="1"/>
  <c r="J176" i="11" l="1"/>
  <c r="L175" i="11"/>
  <c r="M176" i="11" l="1"/>
  <c r="H176" i="11"/>
  <c r="K176" i="11" s="1"/>
  <c r="J177" i="11" l="1"/>
  <c r="L176" i="11"/>
  <c r="M177" i="11" l="1"/>
  <c r="H177" i="11"/>
  <c r="K177" i="11" s="1"/>
  <c r="J178" i="11" l="1"/>
  <c r="L177" i="11"/>
  <c r="M178" i="11" l="1"/>
  <c r="H178" i="11"/>
  <c r="K178" i="11" s="1"/>
  <c r="J179" i="11" l="1"/>
  <c r="L178" i="11"/>
  <c r="M179" i="11" l="1"/>
  <c r="L179" i="11"/>
  <c r="M180" i="11" s="1"/>
  <c r="K179" i="11"/>
  <c r="J180" i="11" s="1"/>
  <c r="L180" i="11" l="1"/>
  <c r="M181" i="11" s="1"/>
  <c r="K180" i="11"/>
  <c r="J181" i="11" s="1"/>
  <c r="H181" i="11" l="1"/>
  <c r="L181" i="11" s="1"/>
  <c r="M182" i="11" s="1"/>
  <c r="K181" i="11" l="1"/>
  <c r="J182" i="11" s="1"/>
  <c r="H182" i="11" l="1"/>
  <c r="L182" i="11" s="1"/>
  <c r="M183" i="11" s="1"/>
  <c r="K182" i="11" l="1"/>
  <c r="J183" i="11" s="1"/>
  <c r="H183" i="11" l="1"/>
  <c r="L183" i="11" s="1"/>
  <c r="M184" i="11" s="1"/>
  <c r="K183" i="11" l="1"/>
  <c r="J184" i="11" s="1"/>
  <c r="H184" i="11" l="1"/>
  <c r="L184" i="11" s="1"/>
  <c r="M185" i="11" s="1"/>
  <c r="K184" i="11" l="1"/>
  <c r="J185" i="11" s="1"/>
  <c r="H185" i="11" l="1"/>
  <c r="K185" i="11" s="1"/>
  <c r="J186" i="11" s="1"/>
  <c r="L186" i="11" l="1"/>
  <c r="M187" i="11" s="1"/>
  <c r="K186" i="11"/>
  <c r="J187" i="11" s="1"/>
  <c r="L185" i="11"/>
  <c r="M186" i="11" s="1"/>
  <c r="P31" i="11"/>
  <c r="L187" i="11" l="1"/>
  <c r="K187" i="11"/>
  <c r="R31" i="11"/>
  <c r="J188" i="11" l="1"/>
  <c r="S31" i="11"/>
  <c r="M188" i="11"/>
  <c r="T31" i="11"/>
  <c r="H188" i="11" l="1"/>
  <c r="K188" i="11" s="1"/>
  <c r="J189" i="11" l="1"/>
  <c r="L188" i="11"/>
  <c r="M189" i="11" l="1"/>
  <c r="H189" i="11"/>
  <c r="K189" i="11" s="1"/>
  <c r="J190" i="11" l="1"/>
  <c r="L189" i="11"/>
  <c r="M190" i="11" l="1"/>
  <c r="H190" i="11"/>
  <c r="K190" i="11" s="1"/>
  <c r="J191" i="11" l="1"/>
  <c r="L190" i="11"/>
  <c r="M191" i="11" l="1"/>
  <c r="H191" i="11"/>
  <c r="K191" i="11" s="1"/>
  <c r="J192" i="11" l="1"/>
  <c r="L191" i="11"/>
  <c r="M192" i="11" l="1"/>
  <c r="H192" i="11"/>
  <c r="K192" i="11" s="1"/>
  <c r="J193" i="11" l="1"/>
  <c r="L192" i="11"/>
  <c r="M193" i="11" l="1"/>
  <c r="H193" i="11"/>
  <c r="L193" i="11" s="1"/>
  <c r="M194" i="11" s="1"/>
  <c r="K193" i="11" l="1"/>
  <c r="J194" i="11" s="1"/>
  <c r="L194" i="11" l="1"/>
  <c r="M195" i="11" s="1"/>
  <c r="K194" i="11"/>
  <c r="J195" i="11" s="1"/>
  <c r="H195" i="11" l="1"/>
  <c r="L195" i="11" s="1"/>
  <c r="M196" i="11" s="1"/>
  <c r="K195" i="11" l="1"/>
  <c r="J196" i="11" s="1"/>
  <c r="H196" i="11" l="1"/>
  <c r="L196" i="11" s="1"/>
  <c r="M197" i="11" s="1"/>
  <c r="K196" i="11" l="1"/>
  <c r="J197" i="11" s="1"/>
  <c r="H197" i="11" l="1"/>
  <c r="L197" i="11" s="1"/>
  <c r="M198" i="11" s="1"/>
  <c r="K197" i="11" l="1"/>
  <c r="J198" i="11" s="1"/>
  <c r="H198" i="11" l="1"/>
  <c r="L198" i="11" s="1"/>
  <c r="M199" i="11" s="1"/>
  <c r="K198" i="11" l="1"/>
  <c r="J199" i="11" s="1"/>
  <c r="H199" i="11" l="1"/>
  <c r="L199" i="11" s="1"/>
  <c r="M200" i="11" s="1"/>
  <c r="K199" i="11" l="1"/>
  <c r="J200" i="11" s="1"/>
  <c r="H200" i="11" l="1"/>
  <c r="K200" i="11" s="1"/>
  <c r="J201" i="11" s="1"/>
  <c r="L201" i="11" l="1"/>
  <c r="K201" i="11"/>
  <c r="R32" i="11"/>
  <c r="L200" i="11"/>
  <c r="M201" i="11" s="1"/>
  <c r="P32" i="11"/>
  <c r="J202" i="11" l="1"/>
  <c r="S32" i="11"/>
  <c r="M202" i="11"/>
  <c r="T32" i="11"/>
  <c r="H202" i="11" l="1"/>
  <c r="K202" i="11" s="1"/>
  <c r="J203" i="11" l="1"/>
  <c r="L202" i="11"/>
  <c r="M203" i="11" l="1"/>
  <c r="H203" i="11"/>
  <c r="K203" i="11" s="1"/>
  <c r="J204" i="11" l="1"/>
  <c r="L203" i="11"/>
  <c r="M204" i="11" l="1"/>
  <c r="H204" i="11"/>
  <c r="K204" i="11" s="1"/>
  <c r="J205" i="11" l="1"/>
  <c r="L204" i="11"/>
  <c r="M205" i="11" l="1"/>
  <c r="H205" i="11"/>
  <c r="K205" i="11" s="1"/>
  <c r="J206" i="11" l="1"/>
  <c r="L205" i="11"/>
  <c r="M206" i="11" l="1"/>
  <c r="H206" i="11"/>
  <c r="K206" i="11" s="1"/>
  <c r="J207" i="11" l="1"/>
  <c r="L206" i="11"/>
  <c r="M207" i="11" l="1"/>
  <c r="L207" i="11"/>
  <c r="M208" i="11" s="1"/>
  <c r="K207" i="11"/>
  <c r="J208" i="11" s="1"/>
  <c r="L208" i="11" l="1"/>
  <c r="M209" i="11" s="1"/>
  <c r="K208" i="11"/>
  <c r="J209" i="11" s="1"/>
  <c r="H209" i="11" l="1"/>
  <c r="L209" i="11" s="1"/>
  <c r="M210" i="11" s="1"/>
  <c r="K209" i="11" l="1"/>
  <c r="J210" i="11" s="1"/>
  <c r="H210" i="11" l="1"/>
  <c r="L210" i="11" s="1"/>
  <c r="M211" i="11" s="1"/>
  <c r="K210" i="11" l="1"/>
  <c r="J211" i="11" s="1"/>
  <c r="H211" i="11" l="1"/>
  <c r="L211" i="11" s="1"/>
  <c r="M212" i="11" s="1"/>
  <c r="K211" i="11" l="1"/>
  <c r="J212" i="11" s="1"/>
  <c r="H212" i="11" l="1"/>
  <c r="L212" i="11" s="1"/>
  <c r="M213" i="11" s="1"/>
  <c r="K212" i="11" l="1"/>
  <c r="J213" i="11" s="1"/>
  <c r="H213" i="11" l="1"/>
  <c r="K213" i="11" l="1"/>
  <c r="J214" i="11" s="1"/>
  <c r="L214" i="11" s="1"/>
  <c r="M215" i="11" s="1"/>
  <c r="BL5" i="11" a="1"/>
  <c r="L213" i="11"/>
  <c r="M214" i="11" s="1"/>
  <c r="H8" i="11"/>
  <c r="H4" i="11"/>
  <c r="H5" i="11"/>
  <c r="P33" i="11"/>
  <c r="K214" i="11" l="1"/>
  <c r="J215" i="11" s="1"/>
  <c r="R33" i="11" s="1"/>
  <c r="BL5" i="11"/>
  <c r="BL9" i="11"/>
  <c r="BL13" i="11"/>
  <c r="BL11" i="11"/>
  <c r="BL12" i="11"/>
  <c r="BL6" i="11"/>
  <c r="BL10" i="11"/>
  <c r="BL14" i="11"/>
  <c r="BL7" i="11"/>
  <c r="BL8" i="11"/>
  <c r="H7" i="11"/>
  <c r="L215" i="11" l="1"/>
  <c r="K10" i="11" s="1"/>
  <c r="K215" i="11"/>
  <c r="BD5" i="11" s="1" a="1"/>
  <c r="BD5" i="11" s="1"/>
  <c r="H6" i="11"/>
  <c r="T33" i="11" l="1"/>
  <c r="K5" i="11"/>
  <c r="K6" i="11"/>
  <c r="S33" i="11"/>
  <c r="K4" i="11"/>
  <c r="K7" i="11"/>
  <c r="K9" i="11"/>
  <c r="BD14" i="11"/>
  <c r="BD11" i="11"/>
  <c r="BD10" i="11"/>
  <c r="BD13" i="11"/>
  <c r="BD8" i="11"/>
  <c r="BD6" i="11"/>
  <c r="BD9" i="11"/>
  <c r="BD7" i="11"/>
  <c r="BD12" i="11"/>
  <c r="K8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<sst xmlns="http://schemas.openxmlformats.org/spreadsheetml/2006/main" count="348" uniqueCount="183">
  <si>
    <t>dataset:</t>
  </si>
  <si>
    <t>name</t>
  </si>
  <si>
    <t>ID no.</t>
  </si>
  <si>
    <r>
      <t>Part A</t>
    </r>
    <r>
      <rPr>
        <b/>
        <sz val="10"/>
        <color theme="1"/>
        <rFont val="Arial"/>
        <family val="2"/>
      </rPr>
      <t xml:space="preserve"> </t>
    </r>
  </si>
  <si>
    <t>Submitted by:</t>
  </si>
  <si>
    <t>Answer:</t>
  </si>
  <si>
    <t>the maximum log pond size last season</t>
  </si>
  <si>
    <t>This sheet is where you should provide the answers to all the tasks</t>
  </si>
  <si>
    <t>the day of the season on which it occurred (a value between 1 and 196)</t>
  </si>
  <si>
    <t>All answers should be formula-based, not simple, static values</t>
  </si>
  <si>
    <t>the block in which it occurred (a value between 1 and 7)</t>
  </si>
  <si>
    <t>Do not insert or remove any columns or rows on this sheet</t>
  </si>
  <si>
    <t>the day of the week on which it occurred (Monday, Tuesday etc.)</t>
  </si>
  <si>
    <t>Values for the variables</t>
  </si>
  <si>
    <t>a chart to show how the log pond size changed throughout the season</t>
  </si>
  <si>
    <t>A</t>
  </si>
  <si>
    <r>
      <t>D</t>
    </r>
    <r>
      <rPr>
        <vertAlign val="subscript"/>
        <sz val="11"/>
        <color theme="1"/>
        <rFont val="Arial"/>
        <family val="2"/>
      </rPr>
      <t>1</t>
    </r>
  </si>
  <si>
    <t>the number of shortfall days, where the sawmill was under-utilised</t>
  </si>
  <si>
    <t>B</t>
  </si>
  <si>
    <r>
      <t>D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</si>
  <si>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the average number of logs cut per day at the sawmill</t>
  </si>
  <si>
    <t>C</t>
  </si>
  <si>
    <r>
      <t>D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</si>
  <si>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t>the average number of logs cut on non-shortfall days</t>
  </si>
  <si>
    <t>E</t>
  </si>
  <si>
    <r>
      <t>D</t>
    </r>
    <r>
      <rPr>
        <vertAlign val="subscript"/>
        <sz val="11"/>
        <color theme="1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</si>
  <si>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the final log pond size at the end of the season</t>
  </si>
  <si>
    <t>F</t>
  </si>
  <si>
    <r>
      <t>D</t>
    </r>
    <r>
      <rPr>
        <vertAlign val="subscript"/>
        <sz val="11"/>
        <color theme="1"/>
        <rFont val="Arial"/>
        <family val="2"/>
      </rPr>
      <t>5</t>
    </r>
    <r>
      <rPr>
        <sz val="11"/>
        <color theme="1"/>
        <rFont val="Calibri"/>
        <family val="2"/>
        <scheme val="minor"/>
      </rPr>
      <t/>
    </r>
  </si>
  <si>
    <t>the average number of logs felled by the loggers</t>
  </si>
  <si>
    <r>
      <t>D</t>
    </r>
    <r>
      <rPr>
        <vertAlign val="subscript"/>
        <sz val="11"/>
        <color theme="1"/>
        <rFont val="Arial"/>
        <family val="2"/>
      </rPr>
      <t>6</t>
    </r>
    <r>
      <rPr>
        <sz val="11"/>
        <color theme="1"/>
        <rFont val="Calibri"/>
        <family val="2"/>
        <scheme val="minor"/>
      </rPr>
      <t/>
    </r>
  </si>
  <si>
    <t>Part B</t>
  </si>
  <si>
    <r>
      <t>D</t>
    </r>
    <r>
      <rPr>
        <vertAlign val="subscript"/>
        <sz val="11"/>
        <color theme="1"/>
        <rFont val="Arial"/>
        <family val="2"/>
      </rPr>
      <t>7</t>
    </r>
    <r>
      <rPr>
        <sz val="11"/>
        <color theme="1"/>
        <rFont val="Calibri"/>
        <family val="2"/>
        <scheme val="minor"/>
      </rPr>
      <t/>
    </r>
  </si>
  <si>
    <t>the maximum log pond size</t>
  </si>
  <si>
    <r>
      <t>D</t>
    </r>
    <r>
      <rPr>
        <vertAlign val="subscript"/>
        <sz val="11"/>
        <color theme="1"/>
        <rFont val="Arial"/>
        <family val="2"/>
      </rPr>
      <t>8</t>
    </r>
    <r>
      <rPr>
        <sz val="11"/>
        <color theme="1"/>
        <rFont val="Calibri"/>
        <family val="2"/>
        <scheme val="minor"/>
      </rPr>
      <t/>
    </r>
  </si>
  <si>
    <r>
      <t>D</t>
    </r>
    <r>
      <rPr>
        <vertAlign val="subscript"/>
        <sz val="11"/>
        <color theme="1"/>
        <rFont val="Arial"/>
        <family val="2"/>
      </rPr>
      <t>9</t>
    </r>
    <r>
      <rPr>
        <sz val="11"/>
        <color theme="1"/>
        <rFont val="Calibri"/>
        <family val="2"/>
        <scheme val="minor"/>
      </rPr>
      <t/>
    </r>
  </si>
  <si>
    <t xml:space="preserve">the total number of shortfall days </t>
  </si>
  <si>
    <r>
      <t>D</t>
    </r>
    <r>
      <rPr>
        <vertAlign val="subscript"/>
        <sz val="11"/>
        <color theme="1"/>
        <rFont val="Arial"/>
        <family val="2"/>
      </rPr>
      <t>10</t>
    </r>
    <r>
      <rPr>
        <sz val="11"/>
        <color theme="1"/>
        <rFont val="Calibri"/>
        <family val="2"/>
        <scheme val="minor"/>
      </rPr>
      <t/>
    </r>
  </si>
  <si>
    <t>which block has the highest average number of daily logs produced by the loggers?</t>
  </si>
  <si>
    <r>
      <t>D</t>
    </r>
    <r>
      <rPr>
        <vertAlign val="subscript"/>
        <sz val="11"/>
        <color theme="1"/>
        <rFont val="Arial"/>
        <family val="2"/>
      </rPr>
      <t>11</t>
    </r>
    <r>
      <rPr>
        <sz val="11"/>
        <color theme="1"/>
        <rFont val="Calibri"/>
        <family val="2"/>
        <scheme val="minor"/>
      </rPr>
      <t/>
    </r>
  </si>
  <si>
    <t>what was the highest number of logs produced on a single day?</t>
  </si>
  <si>
    <r>
      <t>D</t>
    </r>
    <r>
      <rPr>
        <vertAlign val="subscript"/>
        <sz val="11"/>
        <color theme="1"/>
        <rFont val="Arial"/>
        <family val="2"/>
      </rPr>
      <t>12</t>
    </r>
    <r>
      <rPr>
        <sz val="11"/>
        <color theme="1"/>
        <rFont val="Calibri"/>
        <family val="2"/>
        <scheme val="minor"/>
      </rPr>
      <t/>
    </r>
  </si>
  <si>
    <t>in which block did this day occur?</t>
  </si>
  <si>
    <r>
      <t>D</t>
    </r>
    <r>
      <rPr>
        <vertAlign val="subscript"/>
        <sz val="11"/>
        <color theme="1"/>
        <rFont val="Arial"/>
        <family val="2"/>
      </rPr>
      <t>13</t>
    </r>
    <r>
      <rPr>
        <sz val="11"/>
        <color theme="1"/>
        <rFont val="Calibri"/>
        <family val="2"/>
        <scheme val="minor"/>
      </rPr>
      <t/>
    </r>
  </si>
  <si>
    <t>the highest number of logs cut on a shortfall day?</t>
  </si>
  <si>
    <r>
      <t>D</t>
    </r>
    <r>
      <rPr>
        <vertAlign val="subscript"/>
        <sz val="11"/>
        <color theme="1"/>
        <rFont val="Arial"/>
        <family val="2"/>
      </rPr>
      <t>14</t>
    </r>
    <r>
      <rPr>
        <sz val="11"/>
        <color theme="1"/>
        <rFont val="Calibri"/>
        <family val="2"/>
        <scheme val="minor"/>
      </rPr>
      <t/>
    </r>
  </si>
  <si>
    <t>the longest consecutive sequence of shortfall days (ignoring day 1 of the season)</t>
  </si>
  <si>
    <t>the longest consecutive sequence of log pond increases</t>
  </si>
  <si>
    <t>Part C</t>
  </si>
  <si>
    <t>Place a link here to the modelling of this section. See brief for the outputs required.</t>
  </si>
  <si>
    <t>Part D</t>
  </si>
  <si>
    <t>2021 Sawmill Activity</t>
  </si>
  <si>
    <t>No. of logs cut in sawmill</t>
  </si>
  <si>
    <t>No. of logs added to log pond</t>
  </si>
  <si>
    <r>
      <t>LPS_end</t>
    </r>
    <r>
      <rPr>
        <vertAlign val="subscript"/>
        <sz val="11"/>
        <color theme="1"/>
        <rFont val="Calibri"/>
        <family val="2"/>
        <scheme val="minor"/>
      </rPr>
      <t>t</t>
    </r>
  </si>
  <si>
    <t>Logging active?</t>
  </si>
  <si>
    <r>
      <t>LPS_start</t>
    </r>
    <r>
      <rPr>
        <vertAlign val="subscript"/>
        <sz val="11"/>
        <color theme="1"/>
        <rFont val="Calibri"/>
        <family val="2"/>
        <scheme val="minor"/>
      </rPr>
      <t>t</t>
    </r>
  </si>
  <si>
    <t>shortfall?</t>
  </si>
  <si>
    <r>
      <t>C</t>
    </r>
    <r>
      <rPr>
        <i/>
        <vertAlign val="subscript"/>
        <sz val="12"/>
        <color theme="1"/>
        <rFont val="Calibri"/>
        <family val="2"/>
        <scheme val="minor"/>
      </rPr>
      <t>t</t>
    </r>
    <r>
      <rPr>
        <sz val="12"/>
        <color theme="1"/>
        <rFont val="Calibri"/>
        <family val="2"/>
        <scheme val="minor"/>
      </rPr>
      <t>:         no zeros or shortfalls</t>
    </r>
  </si>
  <si>
    <t>custom labels</t>
  </si>
  <si>
    <t>bins</t>
  </si>
  <si>
    <t>frequency</t>
  </si>
  <si>
    <t>more</t>
  </si>
  <si>
    <t>Sawmill schedule</t>
  </si>
  <si>
    <t>block:</t>
  </si>
  <si>
    <t>days:</t>
  </si>
  <si>
    <t>Average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</si>
  <si>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</si>
  <si>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C</t>
    </r>
    <r>
      <rPr>
        <vertAlign val="subscript"/>
        <sz val="11"/>
        <color theme="1"/>
        <rFont val="Calibri"/>
        <family val="2"/>
        <scheme val="minor"/>
      </rPr>
      <t>t</t>
    </r>
  </si>
  <si>
    <t>Average log pond size</t>
  </si>
  <si>
    <t>Block number</t>
  </si>
  <si>
    <t>Day number</t>
  </si>
  <si>
    <t>Day of the week</t>
  </si>
  <si>
    <t>Sawmill active?</t>
  </si>
  <si>
    <t>Block 14</t>
  </si>
  <si>
    <t>Block 10</t>
  </si>
  <si>
    <t>Block 11</t>
  </si>
  <si>
    <t>Block 12</t>
  </si>
  <si>
    <t>Block 13</t>
  </si>
  <si>
    <t>Average:</t>
  </si>
  <si>
    <t>Minimum</t>
  </si>
  <si>
    <t>Minimum:</t>
  </si>
  <si>
    <t>Maximum:</t>
  </si>
  <si>
    <t>std.dev:</t>
  </si>
  <si>
    <t>Range:</t>
  </si>
  <si>
    <t>Final size:</t>
  </si>
  <si>
    <t>Shortfalls:</t>
  </si>
  <si>
    <t>Average logs cut per day (incl zeros)</t>
  </si>
  <si>
    <t>Average logs cut per day (When sawmill was open)</t>
  </si>
  <si>
    <t>Average logs cut per day (On shortfall day)</t>
  </si>
  <si>
    <t>Average logs cut per day (on non shortfall day)</t>
  </si>
  <si>
    <t>Season day number</t>
  </si>
  <si>
    <t>Block 09</t>
  </si>
  <si>
    <t>Block 08</t>
  </si>
  <si>
    <t>Block 07</t>
  </si>
  <si>
    <t>Block 06</t>
  </si>
  <si>
    <t>Block 05</t>
  </si>
  <si>
    <t>Block 04</t>
  </si>
  <si>
    <t>Block 03</t>
  </si>
  <si>
    <t>Block 02</t>
  </si>
  <si>
    <t>Block 01</t>
  </si>
  <si>
    <t>Logs cut:</t>
  </si>
  <si>
    <t>Sum:</t>
  </si>
  <si>
    <t>Maximum</t>
  </si>
  <si>
    <t>std.dev</t>
  </si>
  <si>
    <t>Final size</t>
  </si>
  <si>
    <t>Range</t>
  </si>
  <si>
    <t>Blockwise average</t>
  </si>
  <si>
    <t>Custom labels</t>
  </si>
  <si>
    <t>&lt;=</t>
  </si>
  <si>
    <t>Target variable</t>
  </si>
  <si>
    <t>Shortfalls</t>
  </si>
  <si>
    <t>Number of logs in the pond</t>
  </si>
  <si>
    <t>Reps</t>
  </si>
  <si>
    <t>Reps:</t>
  </si>
  <si>
    <t>Min</t>
  </si>
  <si>
    <t>Max</t>
  </si>
  <si>
    <t>Final log pond size</t>
  </si>
  <si>
    <t>Num of shortfalls</t>
  </si>
  <si>
    <t>Min:</t>
  </si>
  <si>
    <t>Max:</t>
  </si>
  <si>
    <t>Max number of logs in the pond</t>
  </si>
  <si>
    <t>Frequency</t>
  </si>
  <si>
    <t>Number of logs cut in sawmill</t>
  </si>
  <si>
    <t>More</t>
  </si>
  <si>
    <t>No zeros or shortfalls</t>
  </si>
  <si>
    <t>Number of logs added</t>
  </si>
  <si>
    <t>Day on which max log pond size occurs</t>
  </si>
  <si>
    <t>Block in which max log pond size occurs</t>
  </si>
  <si>
    <t>Saurabh Giram</t>
  </si>
  <si>
    <t>Monday</t>
  </si>
  <si>
    <t>Tuesday</t>
  </si>
  <si>
    <t>Wednesday</t>
  </si>
  <si>
    <t>Thursday</t>
  </si>
  <si>
    <t>Friday</t>
  </si>
  <si>
    <t>Saturday</t>
  </si>
  <si>
    <t>Sunday</t>
  </si>
  <si>
    <t>Day in which max log pond size occurs</t>
  </si>
  <si>
    <t>Block:</t>
  </si>
  <si>
    <t xml:space="preserve">Block number for which highest number </t>
  </si>
  <si>
    <t>of logs produced on a single day</t>
  </si>
  <si>
    <t>Logs cut in on shortfall day</t>
  </si>
  <si>
    <t>Block in which it occurs</t>
  </si>
  <si>
    <t xml:space="preserve">Logs cut in on </t>
  </si>
  <si>
    <t>shortfall day</t>
  </si>
  <si>
    <t>Mean</t>
  </si>
  <si>
    <t>Average logs cut per day (On non shortfall day)</t>
  </si>
  <si>
    <t>Question 1</t>
  </si>
  <si>
    <t xml:space="preserve">Number of logs in the pond </t>
  </si>
  <si>
    <t>Final log pond to have no more than E logs at the end of the season,</t>
  </si>
  <si>
    <t>number of shortfall days</t>
  </si>
  <si>
    <t>Target</t>
  </si>
  <si>
    <t>&lt;=500</t>
  </si>
  <si>
    <t>&lt;=20</t>
  </si>
  <si>
    <t>&lt;=25</t>
  </si>
  <si>
    <t>Question 2 and 3</t>
  </si>
  <si>
    <t>Chart:</t>
  </si>
  <si>
    <t>Part C Answers</t>
  </si>
  <si>
    <t>Chart for Log Pond Size (end) during the 196 - day season</t>
  </si>
  <si>
    <t>Chart_LPS196</t>
  </si>
  <si>
    <t>Count:</t>
  </si>
  <si>
    <t xml:space="preserve">Estimate for the probability the log pond </t>
  </si>
  <si>
    <t xml:space="preserve">exceeds 500 logs </t>
  </si>
  <si>
    <t>when the sawmill cutting is stochastic?</t>
  </si>
  <si>
    <t>Part D Answers</t>
  </si>
  <si>
    <t>35493311</t>
  </si>
  <si>
    <t>(max 1000 value)</t>
  </si>
  <si>
    <t>The longest consecutive sequence of shortfall days</t>
  </si>
  <si>
    <t xml:space="preserve"> (ignoring day 1 of the season)</t>
  </si>
  <si>
    <t>log pond increases</t>
  </si>
  <si>
    <r>
      <t>C</t>
    </r>
    <r>
      <rPr>
        <i/>
        <vertAlign val="subscript"/>
        <sz val="12"/>
        <color theme="1"/>
        <rFont val="Calibri"/>
        <family val="2"/>
        <scheme val="minor"/>
      </rPr>
      <t>t</t>
    </r>
    <r>
      <rPr>
        <sz val="12"/>
        <color theme="1"/>
        <rFont val="Calibri"/>
        <family val="2"/>
        <scheme val="minor"/>
      </rPr>
      <t>:         No zeros or shortfalls</t>
    </r>
  </si>
  <si>
    <t>The longest consecutive sequence4 of log pond increases</t>
  </si>
  <si>
    <t>:Average</t>
  </si>
  <si>
    <t>:Minimum</t>
  </si>
  <si>
    <t>:Maximum</t>
  </si>
  <si>
    <t>:std.dev</t>
  </si>
  <si>
    <t>:Range</t>
  </si>
  <si>
    <t>:Final size</t>
  </si>
  <si>
    <t>LPS_end</t>
  </si>
  <si>
    <t>Ct-no zeros or shortfalls</t>
  </si>
  <si>
    <t>No. of logs cut in sawmill(Ct)</t>
  </si>
  <si>
    <t>No. of logs added to log pond(At)</t>
  </si>
  <si>
    <t>Final pond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</si>
</sst>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vertAlign val="subscript"/>
      <sz val="11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373A3C"/>
      <name val="Arial"/>
      <family val="2"/>
    </font>
    <font>
      <i/>
      <sz val="11"/>
      <color theme="2" tint="-0.74999237037263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000080"/>
      <name val="Calibri"/>
      <family val="2"/>
    </font>
    <font>
      <sz val="8"/>
      <color rgb="FF000000"/>
      <name val="Segoe UI"/>
      <charset val="1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43">
    <xf numFmtId="0" fontId="0" fillId="0" borderId="0" xfId="0"/>
    <xf numFmtId="0" fontId="3" fillId="2" borderId="0" xfId="0" applyFont="1" applyFill="1"/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5" fillId="0" borderId="1" xfId="0" applyFont="1" applyFill="1" applyBorder="1"/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5" fillId="0" borderId="3" xfId="0" applyFont="1" applyFill="1" applyBorder="1"/>
    <xf numFmtId="0" fontId="7" fillId="0" borderId="3" xfId="0" applyFont="1" applyFill="1" applyBorder="1" applyAlignment="1">
      <alignment horizontal="center"/>
    </xf>
    <xf numFmtId="0" fontId="4" fillId="2" borderId="0" xfId="0" applyFont="1" applyFill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3" fillId="2" borderId="8" xfId="0" applyFont="1" applyFill="1" applyBorder="1"/>
    <xf numFmtId="0" fontId="3" fillId="2" borderId="0" xfId="0" applyFont="1" applyFill="1" applyAlignment="1">
      <alignment horizontal="right"/>
    </xf>
    <xf numFmtId="0" fontId="0" fillId="2" borderId="0" xfId="0" applyFill="1" applyBorder="1" applyAlignment="1">
      <alignment horizontal="center"/>
    </xf>
    <xf numFmtId="0" fontId="3" fillId="2" borderId="7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0" fillId="3" borderId="4" xfId="0" applyFill="1" applyBorder="1"/>
    <xf numFmtId="0" fontId="2" fillId="3" borderId="5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9" xfId="0" applyFill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12" xfId="0" applyFill="1" applyBorder="1"/>
    <xf numFmtId="0" fontId="0" fillId="3" borderId="10" xfId="0" applyFill="1" applyBorder="1"/>
    <xf numFmtId="0" fontId="0" fillId="4" borderId="1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3" borderId="0" xfId="0" applyFont="1" applyFill="1" applyBorder="1"/>
    <xf numFmtId="0" fontId="0" fillId="5" borderId="9" xfId="0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0" borderId="4" xfId="0" applyFill="1" applyBorder="1"/>
    <xf numFmtId="0" fontId="0" fillId="0" borderId="7" xfId="0" applyFill="1" applyBorder="1"/>
    <xf numFmtId="0" fontId="0" fillId="0" borderId="12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0" fontId="0" fillId="4" borderId="0" xfId="0" applyFill="1" applyBorder="1"/>
    <xf numFmtId="0" fontId="0" fillId="4" borderId="11" xfId="0" applyFont="1" applyFill="1" applyBorder="1" applyAlignment="1">
      <alignment horizontal="center"/>
    </xf>
    <xf numFmtId="0" fontId="0" fillId="4" borderId="14" xfId="0" applyFont="1" applyFill="1" applyBorder="1" applyAlignment="1">
      <alignment horizontal="center"/>
    </xf>
    <xf numFmtId="0" fontId="0" fillId="5" borderId="0" xfId="0" applyFill="1" applyBorder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center"/>
    </xf>
    <xf numFmtId="0" fontId="0" fillId="3" borderId="0" xfId="0" applyFill="1" applyBorder="1" applyAlignment="1"/>
    <xf numFmtId="0" fontId="0" fillId="3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left" wrapText="1"/>
    </xf>
    <xf numFmtId="0" fontId="14" fillId="3" borderId="0" xfId="0" applyFont="1" applyFill="1" applyBorder="1"/>
    <xf numFmtId="2" fontId="0" fillId="0" borderId="0" xfId="0" applyNumberFormat="1" applyFill="1" applyBorder="1"/>
    <xf numFmtId="2" fontId="0" fillId="3" borderId="0" xfId="0" applyNumberFormat="1" applyFill="1" applyBorder="1"/>
    <xf numFmtId="164" fontId="0" fillId="3" borderId="0" xfId="0" applyNumberFormat="1" applyFill="1" applyBorder="1"/>
    <xf numFmtId="1" fontId="0" fillId="3" borderId="0" xfId="0" applyNumberFormat="1" applyFill="1" applyBorder="1"/>
    <xf numFmtId="164" fontId="0" fillId="3" borderId="5" xfId="0" applyNumberFormat="1" applyFill="1" applyBorder="1"/>
    <xf numFmtId="164" fontId="0" fillId="0" borderId="0" xfId="0" applyNumberFormat="1" applyFill="1" applyBorder="1"/>
    <xf numFmtId="164" fontId="0" fillId="0" borderId="0" xfId="0" applyNumberFormat="1" applyFill="1"/>
    <xf numFmtId="164" fontId="0" fillId="0" borderId="0" xfId="0" applyNumberFormat="1"/>
    <xf numFmtId="164" fontId="0" fillId="3" borderId="9" xfId="0" applyNumberFormat="1" applyFill="1" applyBorder="1"/>
    <xf numFmtId="0" fontId="0" fillId="3" borderId="9" xfId="0" applyFill="1" applyBorder="1" applyAlignment="1">
      <alignment horizontal="right"/>
    </xf>
    <xf numFmtId="164" fontId="0" fillId="3" borderId="7" xfId="0" applyNumberFormat="1" applyFill="1" applyBorder="1"/>
    <xf numFmtId="164" fontId="0" fillId="3" borderId="12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7" xfId="0" applyNumberFormat="1" applyFill="1" applyBorder="1"/>
    <xf numFmtId="164" fontId="0" fillId="0" borderId="12" xfId="0" applyNumberFormat="1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0" borderId="10" xfId="0" applyNumberFormat="1" applyFill="1" applyBorder="1"/>
    <xf numFmtId="0" fontId="2" fillId="3" borderId="13" xfId="0" applyFont="1" applyFill="1" applyBorder="1" applyAlignment="1">
      <alignment wrapText="1"/>
    </xf>
    <xf numFmtId="164" fontId="0" fillId="0" borderId="13" xfId="0" applyNumberFormat="1" applyFill="1" applyBorder="1"/>
    <xf numFmtId="164" fontId="0" fillId="0" borderId="11" xfId="0" applyNumberFormat="1" applyFill="1" applyBorder="1"/>
    <xf numFmtId="164" fontId="0" fillId="0" borderId="14" xfId="0" applyNumberFormat="1" applyFill="1" applyBorder="1"/>
    <xf numFmtId="0" fontId="2" fillId="3" borderId="4" xfId="0" applyFont="1" applyFill="1" applyBorder="1" applyAlignment="1">
      <alignment wrapText="1"/>
    </xf>
    <xf numFmtId="0" fontId="2" fillId="3" borderId="6" xfId="0" applyFont="1" applyFill="1" applyBorder="1" applyAlignment="1">
      <alignment wrapText="1"/>
    </xf>
    <xf numFmtId="2" fontId="0" fillId="0" borderId="14" xfId="0" applyNumberFormat="1" applyFill="1" applyBorder="1"/>
    <xf numFmtId="0" fontId="0" fillId="3" borderId="2" xfId="0" applyFill="1" applyBorder="1"/>
    <xf numFmtId="0" fontId="0" fillId="0" borderId="1" xfId="0" applyFill="1" applyBorder="1"/>
    <xf numFmtId="0" fontId="0" fillId="0" borderId="2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5" xfId="0" applyFill="1" applyBorder="1"/>
    <xf numFmtId="0" fontId="0" fillId="5" borderId="2" xfId="0" applyFill="1" applyBorder="1"/>
    <xf numFmtId="0" fontId="14" fillId="0" borderId="0" xfId="0" applyFont="1"/>
    <xf numFmtId="0" fontId="14" fillId="5" borderId="0" xfId="0" applyFont="1" applyFill="1" applyBorder="1"/>
    <xf numFmtId="0" fontId="14" fillId="5" borderId="0" xfId="0" applyFont="1" applyFill="1"/>
    <xf numFmtId="0" fontId="14" fillId="5" borderId="8" xfId="0" applyFont="1" applyFill="1" applyBorder="1"/>
    <xf numFmtId="164" fontId="0" fillId="3" borderId="5" xfId="0" applyNumberFormat="1" applyFill="1" applyBorder="1" applyAlignment="1">
      <alignment wrapText="1"/>
    </xf>
    <xf numFmtId="0" fontId="15" fillId="3" borderId="0" xfId="0" applyFont="1" applyFill="1" applyBorder="1"/>
    <xf numFmtId="1" fontId="0" fillId="0" borderId="0" xfId="0" applyNumberFormat="1" applyFill="1" applyBorder="1"/>
    <xf numFmtId="164" fontId="5" fillId="0" borderId="3" xfId="0" applyNumberFormat="1" applyFont="1" applyFill="1" applyBorder="1"/>
    <xf numFmtId="1" fontId="5" fillId="0" borderId="3" xfId="0" applyNumberFormat="1" applyFont="1" applyFill="1" applyBorder="1"/>
    <xf numFmtId="0" fontId="16" fillId="2" borderId="3" xfId="2" applyFill="1" applyBorder="1" applyAlignment="1">
      <alignment horizontal="center"/>
    </xf>
    <xf numFmtId="164" fontId="0" fillId="0" borderId="5" xfId="0" applyNumberFormat="1" applyBorder="1"/>
    <xf numFmtId="164" fontId="0" fillId="0" borderId="0" xfId="0" applyNumberFormat="1" applyBorder="1"/>
    <xf numFmtId="0" fontId="0" fillId="0" borderId="3" xfId="0" applyFill="1" applyBorder="1"/>
    <xf numFmtId="0" fontId="2" fillId="5" borderId="0" xfId="0" applyFont="1" applyFill="1" applyBorder="1"/>
    <xf numFmtId="0" fontId="2" fillId="0" borderId="0" xfId="0" applyFont="1"/>
    <xf numFmtId="0" fontId="0" fillId="3" borderId="4" xfId="0" applyFill="1" applyBorder="1" applyAlignment="1"/>
    <xf numFmtId="164" fontId="0" fillId="3" borderId="4" xfId="0" applyNumberFormat="1" applyFill="1" applyBorder="1" applyAlignment="1"/>
    <xf numFmtId="9" fontId="0" fillId="0" borderId="8" xfId="1" applyFont="1" applyFill="1" applyBorder="1"/>
    <xf numFmtId="0" fontId="18" fillId="0" borderId="0" xfId="0" quotePrefix="1" applyFont="1"/>
    <xf numFmtId="0" fontId="19" fillId="3" borderId="0" xfId="0" applyFont="1" applyFill="1" applyBorder="1"/>
    <xf numFmtId="0" fontId="0" fillId="3" borderId="6" xfId="0" applyFill="1" applyBorder="1" applyAlignment="1">
      <alignment horizontal="right"/>
    </xf>
    <xf numFmtId="1" fontId="0" fillId="3" borderId="12" xfId="0" applyNumberFormat="1" applyFill="1" applyBorder="1"/>
    <xf numFmtId="0" fontId="20" fillId="5" borderId="0" xfId="0" applyFont="1" applyFill="1"/>
    <xf numFmtId="0" fontId="20" fillId="3" borderId="5" xfId="0" applyFont="1" applyFill="1" applyBorder="1"/>
    <xf numFmtId="0" fontId="0" fillId="5" borderId="0" xfId="0" applyFill="1" applyAlignment="1">
      <alignment horizontal="left"/>
    </xf>
    <xf numFmtId="0" fontId="12" fillId="5" borderId="9" xfId="0" applyFont="1" applyFill="1" applyBorder="1" applyAlignment="1">
      <alignment wrapText="1"/>
    </xf>
    <xf numFmtId="0" fontId="12" fillId="5" borderId="9" xfId="0" applyFont="1" applyFill="1" applyBorder="1" applyAlignment="1">
      <alignment horizontal="center" wrapText="1"/>
    </xf>
    <xf numFmtId="0" fontId="13" fillId="5" borderId="0" xfId="0" applyFont="1" applyFill="1"/>
    <xf numFmtId="0" fontId="13" fillId="0" borderId="0" xfId="0" applyFont="1" applyFill="1"/>
    <xf numFmtId="0" fontId="13" fillId="0" borderId="5" xfId="0" applyFont="1" applyFill="1" applyBorder="1"/>
    <xf numFmtId="0" fontId="13" fillId="0" borderId="0" xfId="0" applyFont="1" applyFill="1" applyBorder="1"/>
    <xf numFmtId="0" fontId="13" fillId="0" borderId="9" xfId="0" applyFont="1" applyFill="1" applyBorder="1"/>
    <xf numFmtId="0" fontId="0" fillId="6" borderId="0" xfId="0" applyFill="1"/>
    <xf numFmtId="0" fontId="0" fillId="6" borderId="0" xfId="0" applyFill="1" applyBorder="1"/>
  </cellXfs>
  <cellStyles count="3">
    <cellStyle name="Hyperlink" xfId="2" builtinId="8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 for non-shortfall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for 2021'!$P$19:$P$26</c:f>
              <c:strCache>
                <c:ptCount val="8"/>
                <c:pt idx="0">
                  <c:v>&lt;=100</c:v>
                </c:pt>
                <c:pt idx="1">
                  <c:v>101-110</c:v>
                </c:pt>
                <c:pt idx="2">
                  <c:v>111-120</c:v>
                </c:pt>
                <c:pt idx="3">
                  <c:v>121-130</c:v>
                </c:pt>
                <c:pt idx="4">
                  <c:v>131-140</c:v>
                </c:pt>
                <c:pt idx="5">
                  <c:v>141-150</c:v>
                </c:pt>
                <c:pt idx="6">
                  <c:v>151-160</c:v>
                </c:pt>
                <c:pt idx="7">
                  <c:v>161-170</c:v>
                </c:pt>
              </c:strCache>
            </c:strRef>
          </c:cat>
          <c:val>
            <c:numRef>
              <c:f>'Data for 2021'!$R$19:$R$27</c:f>
              <c:numCache>
                <c:formatCode>General</c:formatCode>
                <c:ptCount val="9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9</c:v>
                </c:pt>
                <c:pt idx="4">
                  <c:v>35</c:v>
                </c:pt>
                <c:pt idx="5">
                  <c:v>41</c:v>
                </c:pt>
                <c:pt idx="6">
                  <c:v>23</c:v>
                </c:pt>
                <c:pt idx="7">
                  <c:v>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F-4F93-8BC2-85B7BD4E4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894568"/>
        <c:axId val="811893912"/>
      </c:barChart>
      <c:catAx>
        <c:axId val="81189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93912"/>
        <c:crosses val="autoZero"/>
        <c:auto val="1"/>
        <c:lblAlgn val="ctr"/>
        <c:lblOffset val="100"/>
        <c:noMultiLvlLbl val="0"/>
      </c:catAx>
      <c:valAx>
        <c:axId val="81189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n</a:t>
            </a:r>
            <a:r>
              <a:rPr lang="en-GB"/>
              <a:t>umber of logs cut in sawmill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for 2021'!$W$19:$W$29</c:f>
              <c:strCache>
                <c:ptCount val="10"/>
                <c:pt idx="0">
                  <c:v>=0</c:v>
                </c:pt>
                <c:pt idx="1">
                  <c:v>1-20</c:v>
                </c:pt>
                <c:pt idx="2">
                  <c:v>21-40</c:v>
                </c:pt>
                <c:pt idx="3">
                  <c:v>41-60</c:v>
                </c:pt>
                <c:pt idx="4">
                  <c:v>61-80</c:v>
                </c:pt>
                <c:pt idx="5">
                  <c:v>81-100</c:v>
                </c:pt>
                <c:pt idx="6">
                  <c:v>101-120</c:v>
                </c:pt>
                <c:pt idx="7">
                  <c:v>121-140</c:v>
                </c:pt>
                <c:pt idx="8">
                  <c:v>141-160</c:v>
                </c:pt>
                <c:pt idx="9">
                  <c:v>161&gt;=</c:v>
                </c:pt>
              </c:strCache>
            </c:strRef>
          </c:cat>
          <c:val>
            <c:numRef>
              <c:f>'Data for 2021'!$Y$19:$Y$28</c:f>
              <c:numCache>
                <c:formatCode>General</c:formatCode>
                <c:ptCount val="10"/>
                <c:pt idx="0">
                  <c:v>59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45</c:v>
                </c:pt>
                <c:pt idx="8">
                  <c:v>64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3-414A-A573-1EA71E84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239360"/>
        <c:axId val="601243952"/>
      </c:barChart>
      <c:catAx>
        <c:axId val="60123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43952"/>
        <c:crosses val="autoZero"/>
        <c:auto val="1"/>
        <c:lblAlgn val="ctr"/>
        <c:lblOffset val="100"/>
        <c:noMultiLvlLbl val="0"/>
      </c:catAx>
      <c:valAx>
        <c:axId val="601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3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for number of logs added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for 2021'!$AF$19:$AF$28</c:f>
              <c:strCache>
                <c:ptCount val="10"/>
                <c:pt idx="0">
                  <c:v>=0</c:v>
                </c:pt>
                <c:pt idx="1">
                  <c:v>1-25</c:v>
                </c:pt>
                <c:pt idx="2">
                  <c:v>26-50</c:v>
                </c:pt>
                <c:pt idx="3">
                  <c:v>51-75</c:v>
                </c:pt>
                <c:pt idx="4">
                  <c:v>76-100</c:v>
                </c:pt>
                <c:pt idx="5">
                  <c:v>101-125</c:v>
                </c:pt>
                <c:pt idx="6">
                  <c:v>126-150</c:v>
                </c:pt>
                <c:pt idx="7">
                  <c:v>151-175</c:v>
                </c:pt>
                <c:pt idx="8">
                  <c:v>176-200</c:v>
                </c:pt>
                <c:pt idx="9">
                  <c:v>161&gt;=</c:v>
                </c:pt>
              </c:strCache>
            </c:strRef>
          </c:cat>
          <c:val>
            <c:numRef>
              <c:f>'Data for 2021'!$AH$19:$AH$28</c:f>
              <c:numCache>
                <c:formatCode>General</c:formatCode>
                <c:ptCount val="10"/>
                <c:pt idx="0">
                  <c:v>57</c:v>
                </c:pt>
                <c:pt idx="1">
                  <c:v>1</c:v>
                </c:pt>
                <c:pt idx="2">
                  <c:v>6</c:v>
                </c:pt>
                <c:pt idx="3">
                  <c:v>4</c:v>
                </c:pt>
                <c:pt idx="4">
                  <c:v>20</c:v>
                </c:pt>
                <c:pt idx="5">
                  <c:v>18</c:v>
                </c:pt>
                <c:pt idx="6">
                  <c:v>44</c:v>
                </c:pt>
                <c:pt idx="7">
                  <c:v>29</c:v>
                </c:pt>
                <c:pt idx="8">
                  <c:v>15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C-4928-B6CA-95EB87605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5779944"/>
        <c:axId val="995788144"/>
      </c:barChart>
      <c:catAx>
        <c:axId val="995779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88144"/>
        <c:crosses val="autoZero"/>
        <c:auto val="1"/>
        <c:lblAlgn val="ctr"/>
        <c:lblOffset val="100"/>
        <c:noMultiLvlLbl val="0"/>
      </c:catAx>
      <c:valAx>
        <c:axId val="99578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7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Log Pond Size (end) during the 196-day season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for 2021'!$K$19:$K$214</c:f>
              <c:numCache>
                <c:formatCode>General</c:formatCode>
                <c:ptCount val="196"/>
                <c:pt idx="0">
                  <c:v>47</c:v>
                </c:pt>
                <c:pt idx="1">
                  <c:v>64</c:v>
                </c:pt>
                <c:pt idx="2">
                  <c:v>49</c:v>
                </c:pt>
                <c:pt idx="3">
                  <c:v>37</c:v>
                </c:pt>
                <c:pt idx="4">
                  <c:v>118</c:v>
                </c:pt>
                <c:pt idx="5">
                  <c:v>118</c:v>
                </c:pt>
                <c:pt idx="6">
                  <c:v>118</c:v>
                </c:pt>
                <c:pt idx="7">
                  <c:v>78</c:v>
                </c:pt>
                <c:pt idx="8">
                  <c:v>38</c:v>
                </c:pt>
                <c:pt idx="9">
                  <c:v>61</c:v>
                </c:pt>
                <c:pt idx="10">
                  <c:v>66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116</c:v>
                </c:pt>
                <c:pt idx="15">
                  <c:v>90</c:v>
                </c:pt>
                <c:pt idx="16">
                  <c:v>97</c:v>
                </c:pt>
                <c:pt idx="17">
                  <c:v>110</c:v>
                </c:pt>
                <c:pt idx="18">
                  <c:v>197</c:v>
                </c:pt>
                <c:pt idx="19">
                  <c:v>197</c:v>
                </c:pt>
                <c:pt idx="20">
                  <c:v>197</c:v>
                </c:pt>
                <c:pt idx="21">
                  <c:v>137</c:v>
                </c:pt>
                <c:pt idx="22">
                  <c:v>95</c:v>
                </c:pt>
                <c:pt idx="23">
                  <c:v>99</c:v>
                </c:pt>
                <c:pt idx="24">
                  <c:v>97</c:v>
                </c:pt>
                <c:pt idx="25">
                  <c:v>199</c:v>
                </c:pt>
                <c:pt idx="26">
                  <c:v>199</c:v>
                </c:pt>
                <c:pt idx="27">
                  <c:v>199</c:v>
                </c:pt>
                <c:pt idx="28">
                  <c:v>122</c:v>
                </c:pt>
                <c:pt idx="29">
                  <c:v>83</c:v>
                </c:pt>
                <c:pt idx="30">
                  <c:v>85</c:v>
                </c:pt>
                <c:pt idx="31">
                  <c:v>106</c:v>
                </c:pt>
                <c:pt idx="32">
                  <c:v>197</c:v>
                </c:pt>
                <c:pt idx="33">
                  <c:v>197</c:v>
                </c:pt>
                <c:pt idx="34">
                  <c:v>197</c:v>
                </c:pt>
                <c:pt idx="35">
                  <c:v>192</c:v>
                </c:pt>
                <c:pt idx="36">
                  <c:v>137</c:v>
                </c:pt>
                <c:pt idx="37">
                  <c:v>117</c:v>
                </c:pt>
                <c:pt idx="38">
                  <c:v>83</c:v>
                </c:pt>
                <c:pt idx="39">
                  <c:v>205</c:v>
                </c:pt>
                <c:pt idx="40">
                  <c:v>205</c:v>
                </c:pt>
                <c:pt idx="41">
                  <c:v>205</c:v>
                </c:pt>
                <c:pt idx="42">
                  <c:v>177</c:v>
                </c:pt>
                <c:pt idx="43">
                  <c:v>96</c:v>
                </c:pt>
                <c:pt idx="44">
                  <c:v>118</c:v>
                </c:pt>
                <c:pt idx="45">
                  <c:v>141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276</c:v>
                </c:pt>
                <c:pt idx="50">
                  <c:v>378</c:v>
                </c:pt>
                <c:pt idx="51">
                  <c:v>362</c:v>
                </c:pt>
                <c:pt idx="52">
                  <c:v>333</c:v>
                </c:pt>
                <c:pt idx="53">
                  <c:v>432</c:v>
                </c:pt>
                <c:pt idx="54">
                  <c:v>432</c:v>
                </c:pt>
                <c:pt idx="55">
                  <c:v>432</c:v>
                </c:pt>
                <c:pt idx="56">
                  <c:v>429</c:v>
                </c:pt>
                <c:pt idx="57">
                  <c:v>387</c:v>
                </c:pt>
                <c:pt idx="58">
                  <c:v>371</c:v>
                </c:pt>
                <c:pt idx="59">
                  <c:v>353</c:v>
                </c:pt>
                <c:pt idx="60">
                  <c:v>313</c:v>
                </c:pt>
                <c:pt idx="61">
                  <c:v>313</c:v>
                </c:pt>
                <c:pt idx="62">
                  <c:v>313</c:v>
                </c:pt>
                <c:pt idx="63">
                  <c:v>330</c:v>
                </c:pt>
                <c:pt idx="64">
                  <c:v>329</c:v>
                </c:pt>
                <c:pt idx="65">
                  <c:v>349</c:v>
                </c:pt>
                <c:pt idx="66">
                  <c:v>378</c:v>
                </c:pt>
                <c:pt idx="67">
                  <c:v>380</c:v>
                </c:pt>
                <c:pt idx="68">
                  <c:v>380</c:v>
                </c:pt>
                <c:pt idx="69">
                  <c:v>380</c:v>
                </c:pt>
                <c:pt idx="70">
                  <c:v>408</c:v>
                </c:pt>
                <c:pt idx="71">
                  <c:v>443</c:v>
                </c:pt>
                <c:pt idx="72">
                  <c:v>423</c:v>
                </c:pt>
                <c:pt idx="73">
                  <c:v>446</c:v>
                </c:pt>
                <c:pt idx="74">
                  <c:v>418</c:v>
                </c:pt>
                <c:pt idx="75">
                  <c:v>418</c:v>
                </c:pt>
                <c:pt idx="76">
                  <c:v>418</c:v>
                </c:pt>
                <c:pt idx="77">
                  <c:v>416</c:v>
                </c:pt>
                <c:pt idx="78">
                  <c:v>411</c:v>
                </c:pt>
                <c:pt idx="79">
                  <c:v>415</c:v>
                </c:pt>
                <c:pt idx="80">
                  <c:v>428</c:v>
                </c:pt>
                <c:pt idx="81">
                  <c:v>418</c:v>
                </c:pt>
                <c:pt idx="82">
                  <c:v>418</c:v>
                </c:pt>
                <c:pt idx="83">
                  <c:v>418</c:v>
                </c:pt>
                <c:pt idx="84">
                  <c:v>424</c:v>
                </c:pt>
                <c:pt idx="85">
                  <c:v>433</c:v>
                </c:pt>
                <c:pt idx="86">
                  <c:v>393</c:v>
                </c:pt>
                <c:pt idx="87">
                  <c:v>376</c:v>
                </c:pt>
                <c:pt idx="88">
                  <c:v>390</c:v>
                </c:pt>
                <c:pt idx="89">
                  <c:v>390</c:v>
                </c:pt>
                <c:pt idx="90">
                  <c:v>390</c:v>
                </c:pt>
                <c:pt idx="91">
                  <c:v>397</c:v>
                </c:pt>
                <c:pt idx="92">
                  <c:v>396</c:v>
                </c:pt>
                <c:pt idx="93">
                  <c:v>423</c:v>
                </c:pt>
                <c:pt idx="94">
                  <c:v>413</c:v>
                </c:pt>
                <c:pt idx="95">
                  <c:v>413</c:v>
                </c:pt>
                <c:pt idx="96">
                  <c:v>413</c:v>
                </c:pt>
                <c:pt idx="97">
                  <c:v>413</c:v>
                </c:pt>
                <c:pt idx="98">
                  <c:v>457</c:v>
                </c:pt>
                <c:pt idx="99">
                  <c:v>474</c:v>
                </c:pt>
                <c:pt idx="100">
                  <c:v>445</c:v>
                </c:pt>
                <c:pt idx="101">
                  <c:v>511</c:v>
                </c:pt>
                <c:pt idx="102">
                  <c:v>509</c:v>
                </c:pt>
                <c:pt idx="103">
                  <c:v>509</c:v>
                </c:pt>
                <c:pt idx="104">
                  <c:v>509</c:v>
                </c:pt>
                <c:pt idx="105">
                  <c:v>444</c:v>
                </c:pt>
                <c:pt idx="106">
                  <c:v>502</c:v>
                </c:pt>
                <c:pt idx="107">
                  <c:v>538</c:v>
                </c:pt>
                <c:pt idx="108">
                  <c:v>531</c:v>
                </c:pt>
                <c:pt idx="109">
                  <c:v>508</c:v>
                </c:pt>
                <c:pt idx="110">
                  <c:v>508</c:v>
                </c:pt>
                <c:pt idx="111">
                  <c:v>508</c:v>
                </c:pt>
                <c:pt idx="112">
                  <c:v>496</c:v>
                </c:pt>
                <c:pt idx="113">
                  <c:v>516</c:v>
                </c:pt>
                <c:pt idx="114">
                  <c:v>545</c:v>
                </c:pt>
                <c:pt idx="115">
                  <c:v>703</c:v>
                </c:pt>
                <c:pt idx="116">
                  <c:v>794</c:v>
                </c:pt>
                <c:pt idx="117">
                  <c:v>794</c:v>
                </c:pt>
                <c:pt idx="118">
                  <c:v>794</c:v>
                </c:pt>
                <c:pt idx="119">
                  <c:v>810</c:v>
                </c:pt>
                <c:pt idx="120">
                  <c:v>802</c:v>
                </c:pt>
                <c:pt idx="121">
                  <c:v>822</c:v>
                </c:pt>
                <c:pt idx="122">
                  <c:v>820</c:v>
                </c:pt>
                <c:pt idx="123">
                  <c:v>867</c:v>
                </c:pt>
                <c:pt idx="124">
                  <c:v>867</c:v>
                </c:pt>
                <c:pt idx="125">
                  <c:v>867</c:v>
                </c:pt>
                <c:pt idx="126">
                  <c:v>894</c:v>
                </c:pt>
                <c:pt idx="127">
                  <c:v>902</c:v>
                </c:pt>
                <c:pt idx="128">
                  <c:v>764</c:v>
                </c:pt>
                <c:pt idx="129">
                  <c:v>835</c:v>
                </c:pt>
                <c:pt idx="130">
                  <c:v>838</c:v>
                </c:pt>
                <c:pt idx="131">
                  <c:v>838</c:v>
                </c:pt>
                <c:pt idx="132">
                  <c:v>838</c:v>
                </c:pt>
                <c:pt idx="133">
                  <c:v>850</c:v>
                </c:pt>
                <c:pt idx="134">
                  <c:v>881</c:v>
                </c:pt>
                <c:pt idx="135">
                  <c:v>896</c:v>
                </c:pt>
                <c:pt idx="136">
                  <c:v>897</c:v>
                </c:pt>
                <c:pt idx="137">
                  <c:v>896</c:v>
                </c:pt>
                <c:pt idx="138">
                  <c:v>896</c:v>
                </c:pt>
                <c:pt idx="139">
                  <c:v>896</c:v>
                </c:pt>
                <c:pt idx="140">
                  <c:v>937</c:v>
                </c:pt>
                <c:pt idx="141">
                  <c:v>974</c:v>
                </c:pt>
                <c:pt idx="142">
                  <c:v>1008</c:v>
                </c:pt>
                <c:pt idx="143">
                  <c:v>1033</c:v>
                </c:pt>
                <c:pt idx="144">
                  <c:v>1036</c:v>
                </c:pt>
                <c:pt idx="145">
                  <c:v>1036</c:v>
                </c:pt>
                <c:pt idx="146">
                  <c:v>1036</c:v>
                </c:pt>
                <c:pt idx="147">
                  <c:v>1078</c:v>
                </c:pt>
                <c:pt idx="148">
                  <c:v>1133</c:v>
                </c:pt>
                <c:pt idx="149">
                  <c:v>1118</c:v>
                </c:pt>
                <c:pt idx="150">
                  <c:v>1137</c:v>
                </c:pt>
                <c:pt idx="151">
                  <c:v>1179</c:v>
                </c:pt>
                <c:pt idx="152">
                  <c:v>1179</c:v>
                </c:pt>
                <c:pt idx="153">
                  <c:v>1179</c:v>
                </c:pt>
                <c:pt idx="154">
                  <c:v>1191</c:v>
                </c:pt>
                <c:pt idx="155">
                  <c:v>1204</c:v>
                </c:pt>
                <c:pt idx="156">
                  <c:v>1188</c:v>
                </c:pt>
                <c:pt idx="157">
                  <c:v>1186</c:v>
                </c:pt>
                <c:pt idx="158">
                  <c:v>1187</c:v>
                </c:pt>
                <c:pt idx="159">
                  <c:v>1026</c:v>
                </c:pt>
                <c:pt idx="160">
                  <c:v>1026</c:v>
                </c:pt>
                <c:pt idx="161">
                  <c:v>1019</c:v>
                </c:pt>
                <c:pt idx="162">
                  <c:v>959</c:v>
                </c:pt>
                <c:pt idx="163">
                  <c:v>946</c:v>
                </c:pt>
                <c:pt idx="164">
                  <c:v>963</c:v>
                </c:pt>
                <c:pt idx="165">
                  <c:v>941</c:v>
                </c:pt>
                <c:pt idx="166">
                  <c:v>810</c:v>
                </c:pt>
                <c:pt idx="167">
                  <c:v>810</c:v>
                </c:pt>
                <c:pt idx="168">
                  <c:v>823</c:v>
                </c:pt>
                <c:pt idx="169">
                  <c:v>831</c:v>
                </c:pt>
                <c:pt idx="170">
                  <c:v>870</c:v>
                </c:pt>
                <c:pt idx="171">
                  <c:v>890</c:v>
                </c:pt>
                <c:pt idx="172">
                  <c:v>888</c:v>
                </c:pt>
                <c:pt idx="173">
                  <c:v>731</c:v>
                </c:pt>
                <c:pt idx="174">
                  <c:v>731</c:v>
                </c:pt>
                <c:pt idx="175">
                  <c:v>729</c:v>
                </c:pt>
                <c:pt idx="176">
                  <c:v>749</c:v>
                </c:pt>
                <c:pt idx="177">
                  <c:v>776</c:v>
                </c:pt>
                <c:pt idx="178">
                  <c:v>753</c:v>
                </c:pt>
                <c:pt idx="179">
                  <c:v>741</c:v>
                </c:pt>
                <c:pt idx="180">
                  <c:v>591</c:v>
                </c:pt>
                <c:pt idx="181">
                  <c:v>591</c:v>
                </c:pt>
                <c:pt idx="182">
                  <c:v>583</c:v>
                </c:pt>
                <c:pt idx="183">
                  <c:v>600</c:v>
                </c:pt>
                <c:pt idx="184">
                  <c:v>640</c:v>
                </c:pt>
                <c:pt idx="185">
                  <c:v>627</c:v>
                </c:pt>
                <c:pt idx="186">
                  <c:v>569</c:v>
                </c:pt>
                <c:pt idx="187">
                  <c:v>424</c:v>
                </c:pt>
                <c:pt idx="188">
                  <c:v>424</c:v>
                </c:pt>
                <c:pt idx="189">
                  <c:v>399</c:v>
                </c:pt>
                <c:pt idx="190">
                  <c:v>382</c:v>
                </c:pt>
                <c:pt idx="191">
                  <c:v>401</c:v>
                </c:pt>
                <c:pt idx="192">
                  <c:v>414</c:v>
                </c:pt>
                <c:pt idx="193">
                  <c:v>295</c:v>
                </c:pt>
                <c:pt idx="194">
                  <c:v>172</c:v>
                </c:pt>
                <c:pt idx="195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A-4C18-85F8-03344CA56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6463032"/>
        <c:axId val="806464016"/>
      </c:lineChart>
      <c:catAx>
        <c:axId val="806463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64016"/>
        <c:crosses val="autoZero"/>
        <c:auto val="1"/>
        <c:lblAlgn val="ctr"/>
        <c:lblOffset val="100"/>
        <c:noMultiLvlLbl val="0"/>
      </c:catAx>
      <c:valAx>
        <c:axId val="80646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Log Pond Size (end) during the 196-day season for best schedule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9443789126656"/>
          <c:y val="0.24519535865819647"/>
          <c:w val="0.85114127570228348"/>
          <c:h val="0.57422173837173851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'Predictive Model Part C '!$K$20:$K$215</c:f>
              <c:numCache>
                <c:formatCode>0.0</c:formatCode>
                <c:ptCount val="196"/>
                <c:pt idx="0">
                  <c:v>47</c:v>
                </c:pt>
                <c:pt idx="1">
                  <c:v>64</c:v>
                </c:pt>
                <c:pt idx="2">
                  <c:v>113</c:v>
                </c:pt>
                <c:pt idx="3">
                  <c:v>150</c:v>
                </c:pt>
                <c:pt idx="4">
                  <c:v>231</c:v>
                </c:pt>
                <c:pt idx="5">
                  <c:v>290</c:v>
                </c:pt>
                <c:pt idx="6">
                  <c:v>290</c:v>
                </c:pt>
                <c:pt idx="7">
                  <c:v>207.33155385455609</c:v>
                </c:pt>
                <c:pt idx="8">
                  <c:v>66.027003512773689</c:v>
                </c:pt>
                <c:pt idx="9">
                  <c:v>127.02700351277369</c:v>
                </c:pt>
                <c:pt idx="10">
                  <c:v>193.02700351277369</c:v>
                </c:pt>
                <c:pt idx="11">
                  <c:v>269.02700351277372</c:v>
                </c:pt>
                <c:pt idx="12">
                  <c:v>328.02700351277372</c:v>
                </c:pt>
                <c:pt idx="13">
                  <c:v>328.02700351277372</c:v>
                </c:pt>
                <c:pt idx="14">
                  <c:v>268.36868877394522</c:v>
                </c:pt>
                <c:pt idx="15">
                  <c:v>189.28857864066882</c:v>
                </c:pt>
                <c:pt idx="16">
                  <c:v>116.26879613925956</c:v>
                </c:pt>
                <c:pt idx="17">
                  <c:v>226.26879613925956</c:v>
                </c:pt>
                <c:pt idx="18">
                  <c:v>313.26879613925956</c:v>
                </c:pt>
                <c:pt idx="19">
                  <c:v>407.26879613925956</c:v>
                </c:pt>
                <c:pt idx="20">
                  <c:v>407.26879613925956</c:v>
                </c:pt>
                <c:pt idx="21">
                  <c:v>294.47591597636142</c:v>
                </c:pt>
                <c:pt idx="22">
                  <c:v>242.97229899406881</c:v>
                </c:pt>
                <c:pt idx="23">
                  <c:v>147.59915789261436</c:v>
                </c:pt>
                <c:pt idx="24">
                  <c:v>244.59915789261436</c:v>
                </c:pt>
                <c:pt idx="25">
                  <c:v>346.59915789261436</c:v>
                </c:pt>
                <c:pt idx="26">
                  <c:v>440.59915789261436</c:v>
                </c:pt>
                <c:pt idx="27">
                  <c:v>440.59915789261436</c:v>
                </c:pt>
                <c:pt idx="28">
                  <c:v>345.21557212427228</c:v>
                </c:pt>
                <c:pt idx="29">
                  <c:v>286.18818252526887</c:v>
                </c:pt>
                <c:pt idx="30">
                  <c:v>202.96954904584004</c:v>
                </c:pt>
                <c:pt idx="31">
                  <c:v>167.24305319611292</c:v>
                </c:pt>
                <c:pt idx="32">
                  <c:v>258.2430531961129</c:v>
                </c:pt>
                <c:pt idx="33">
                  <c:v>356.2430531961129</c:v>
                </c:pt>
                <c:pt idx="34">
                  <c:v>356.2430531961129</c:v>
                </c:pt>
                <c:pt idx="35">
                  <c:v>338.0753569070186</c:v>
                </c:pt>
                <c:pt idx="36">
                  <c:v>313.40080189387339</c:v>
                </c:pt>
                <c:pt idx="37">
                  <c:v>238.21574838691473</c:v>
                </c:pt>
                <c:pt idx="38">
                  <c:v>127.93998040544437</c:v>
                </c:pt>
                <c:pt idx="39">
                  <c:v>249.93998040544437</c:v>
                </c:pt>
                <c:pt idx="40">
                  <c:v>347.93998040544437</c:v>
                </c:pt>
                <c:pt idx="41">
                  <c:v>347.93998040544437</c:v>
                </c:pt>
                <c:pt idx="42">
                  <c:v>310.88218216968204</c:v>
                </c:pt>
                <c:pt idx="43">
                  <c:v>200.18605914836155</c:v>
                </c:pt>
                <c:pt idx="44">
                  <c:v>138.46931555545669</c:v>
                </c:pt>
                <c:pt idx="45">
                  <c:v>140.99999999999997</c:v>
                </c:pt>
                <c:pt idx="46">
                  <c:v>253.99999999999997</c:v>
                </c:pt>
                <c:pt idx="47">
                  <c:v>369</c:v>
                </c:pt>
                <c:pt idx="48">
                  <c:v>369</c:v>
                </c:pt>
                <c:pt idx="49">
                  <c:v>316.10770298635464</c:v>
                </c:pt>
                <c:pt idx="50">
                  <c:v>306.60702069104912</c:v>
                </c:pt>
                <c:pt idx="51">
                  <c:v>282.29547224217959</c:v>
                </c:pt>
                <c:pt idx="52">
                  <c:v>277.62310967712381</c:v>
                </c:pt>
                <c:pt idx="53">
                  <c:v>376.62310967712381</c:v>
                </c:pt>
                <c:pt idx="54">
                  <c:v>491.62310967712381</c:v>
                </c:pt>
                <c:pt idx="55">
                  <c:v>491.62310967712381</c:v>
                </c:pt>
                <c:pt idx="56">
                  <c:v>476.67341897641734</c:v>
                </c:pt>
                <c:pt idx="57">
                  <c:v>401.67858167516101</c:v>
                </c:pt>
                <c:pt idx="58">
                  <c:v>359.7700703269395</c:v>
                </c:pt>
                <c:pt idx="59">
                  <c:v>272.22828479878888</c:v>
                </c:pt>
                <c:pt idx="60">
                  <c:v>203.93762122496332</c:v>
                </c:pt>
                <c:pt idx="61">
                  <c:v>342.93762122496332</c:v>
                </c:pt>
                <c:pt idx="62">
                  <c:v>342.93762122496332</c:v>
                </c:pt>
                <c:pt idx="63">
                  <c:v>349.21290438414576</c:v>
                </c:pt>
                <c:pt idx="64">
                  <c:v>340.22545265173687</c:v>
                </c:pt>
                <c:pt idx="65">
                  <c:v>346.75558175308106</c:v>
                </c:pt>
                <c:pt idx="66">
                  <c:v>357.26434090996054</c:v>
                </c:pt>
                <c:pt idx="67">
                  <c:v>299.78468792688102</c:v>
                </c:pt>
                <c:pt idx="68">
                  <c:v>438.78468792688102</c:v>
                </c:pt>
                <c:pt idx="69">
                  <c:v>438.78468792688102</c:v>
                </c:pt>
                <c:pt idx="70">
                  <c:v>476.80006071703951</c:v>
                </c:pt>
                <c:pt idx="71">
                  <c:v>485.44590166189619</c:v>
                </c:pt>
                <c:pt idx="72">
                  <c:v>444.18549511517415</c:v>
                </c:pt>
                <c:pt idx="73">
                  <c:v>458.98095031221101</c:v>
                </c:pt>
                <c:pt idx="74">
                  <c:v>417.44504141907657</c:v>
                </c:pt>
                <c:pt idx="75">
                  <c:v>398.50303619281044</c:v>
                </c:pt>
                <c:pt idx="76">
                  <c:v>398.50303619281044</c:v>
                </c:pt>
                <c:pt idx="77">
                  <c:v>399.91143794102038</c:v>
                </c:pt>
                <c:pt idx="78">
                  <c:v>355.94647785854585</c:v>
                </c:pt>
                <c:pt idx="79">
                  <c:v>379.53350145182947</c:v>
                </c:pt>
                <c:pt idx="80">
                  <c:v>385.11569456626546</c:v>
                </c:pt>
                <c:pt idx="81">
                  <c:v>338.72390499357505</c:v>
                </c:pt>
                <c:pt idx="82">
                  <c:v>338.77871916062634</c:v>
                </c:pt>
                <c:pt idx="83">
                  <c:v>338.77871916062634</c:v>
                </c:pt>
                <c:pt idx="84">
                  <c:v>279.59704893453744</c:v>
                </c:pt>
                <c:pt idx="85">
                  <c:v>257.7201704416874</c:v>
                </c:pt>
                <c:pt idx="86">
                  <c:v>204.4424417981615</c:v>
                </c:pt>
                <c:pt idx="87">
                  <c:v>148.67950150413762</c:v>
                </c:pt>
                <c:pt idx="88">
                  <c:v>172.00000000000003</c:v>
                </c:pt>
                <c:pt idx="89">
                  <c:v>315</c:v>
                </c:pt>
                <c:pt idx="90">
                  <c:v>315</c:v>
                </c:pt>
                <c:pt idx="91">
                  <c:v>302.07797387759769</c:v>
                </c:pt>
                <c:pt idx="92">
                  <c:v>290.56152283907625</c:v>
                </c:pt>
                <c:pt idx="93">
                  <c:v>316.78078366227822</c:v>
                </c:pt>
                <c:pt idx="94">
                  <c:v>299.87399092586702</c:v>
                </c:pt>
                <c:pt idx="95">
                  <c:v>304.65180494979228</c:v>
                </c:pt>
                <c:pt idx="96">
                  <c:v>447.65180494979228</c:v>
                </c:pt>
                <c:pt idx="97">
                  <c:v>447.65180494979228</c:v>
                </c:pt>
                <c:pt idx="98">
                  <c:v>510.23348122918139</c:v>
                </c:pt>
                <c:pt idx="99">
                  <c:v>522.20538072508748</c:v>
                </c:pt>
                <c:pt idx="100">
                  <c:v>481.3742396883726</c:v>
                </c:pt>
                <c:pt idx="101">
                  <c:v>515.60433069368673</c:v>
                </c:pt>
                <c:pt idx="102">
                  <c:v>472.76154374061207</c:v>
                </c:pt>
                <c:pt idx="103">
                  <c:v>621.76154374061207</c:v>
                </c:pt>
                <c:pt idx="104">
                  <c:v>621.76154374061207</c:v>
                </c:pt>
                <c:pt idx="105">
                  <c:v>498.93578920478552</c:v>
                </c:pt>
                <c:pt idx="106">
                  <c:v>523.93111087980162</c:v>
                </c:pt>
                <c:pt idx="107">
                  <c:v>542.84561742707308</c:v>
                </c:pt>
                <c:pt idx="108">
                  <c:v>555.08970446392698</c:v>
                </c:pt>
                <c:pt idx="109">
                  <c:v>475.52319239776619</c:v>
                </c:pt>
                <c:pt idx="110">
                  <c:v>624.52319239776625</c:v>
                </c:pt>
                <c:pt idx="111">
                  <c:v>624.52319239776625</c:v>
                </c:pt>
                <c:pt idx="112">
                  <c:v>577.58663517632067</c:v>
                </c:pt>
                <c:pt idx="113">
                  <c:v>578.14664609360773</c:v>
                </c:pt>
                <c:pt idx="114">
                  <c:v>572.81578576438824</c:v>
                </c:pt>
                <c:pt idx="115">
                  <c:v>616.72668505249999</c:v>
                </c:pt>
                <c:pt idx="116">
                  <c:v>595.90171805866339</c:v>
                </c:pt>
                <c:pt idx="117">
                  <c:v>618.48217740847065</c:v>
                </c:pt>
                <c:pt idx="118">
                  <c:v>618.48217740847065</c:v>
                </c:pt>
                <c:pt idx="119">
                  <c:v>608.05001282466287</c:v>
                </c:pt>
                <c:pt idx="120">
                  <c:v>567.71607252171543</c:v>
                </c:pt>
                <c:pt idx="121">
                  <c:v>547.08985895865681</c:v>
                </c:pt>
                <c:pt idx="122">
                  <c:v>494.42975962201871</c:v>
                </c:pt>
                <c:pt idx="123">
                  <c:v>531.6254941044707</c:v>
                </c:pt>
                <c:pt idx="124">
                  <c:v>568.78804052329667</c:v>
                </c:pt>
                <c:pt idx="125">
                  <c:v>568.78804052329667</c:v>
                </c:pt>
                <c:pt idx="126">
                  <c:v>564.2426158051843</c:v>
                </c:pt>
                <c:pt idx="127">
                  <c:v>513.21902589598471</c:v>
                </c:pt>
                <c:pt idx="128">
                  <c:v>373.91175271733016</c:v>
                </c:pt>
                <c:pt idx="129">
                  <c:v>414.94849825817334</c:v>
                </c:pt>
                <c:pt idx="130">
                  <c:v>460.08672723116854</c:v>
                </c:pt>
                <c:pt idx="131">
                  <c:v>606.08672723116854</c:v>
                </c:pt>
                <c:pt idx="132">
                  <c:v>606.08672723116854</c:v>
                </c:pt>
                <c:pt idx="133">
                  <c:v>622.1242056341415</c:v>
                </c:pt>
                <c:pt idx="134">
                  <c:v>658.22899345659243</c:v>
                </c:pt>
                <c:pt idx="135">
                  <c:v>651.44978815636625</c:v>
                </c:pt>
                <c:pt idx="136">
                  <c:v>632.08675339422052</c:v>
                </c:pt>
                <c:pt idx="137">
                  <c:v>600.19662901552783</c:v>
                </c:pt>
                <c:pt idx="138">
                  <c:v>746.19662901552783</c:v>
                </c:pt>
                <c:pt idx="139">
                  <c:v>746.19662901552783</c:v>
                </c:pt>
                <c:pt idx="140">
                  <c:v>751.48090048038</c:v>
                </c:pt>
                <c:pt idx="141">
                  <c:v>787.58104429430796</c:v>
                </c:pt>
                <c:pt idx="142">
                  <c:v>825.08451128637739</c:v>
                </c:pt>
                <c:pt idx="143">
                  <c:v>802.59326657563361</c:v>
                </c:pt>
                <c:pt idx="144">
                  <c:v>826.46075385193785</c:v>
                </c:pt>
                <c:pt idx="145">
                  <c:v>845.90243806387639</c:v>
                </c:pt>
                <c:pt idx="146">
                  <c:v>845.90243806387639</c:v>
                </c:pt>
                <c:pt idx="147">
                  <c:v>873.70151244838326</c:v>
                </c:pt>
                <c:pt idx="148">
                  <c:v>899.69603996996818</c:v>
                </c:pt>
                <c:pt idx="149">
                  <c:v>923.47278395761157</c:v>
                </c:pt>
                <c:pt idx="150">
                  <c:v>948.30736464949155</c:v>
                </c:pt>
                <c:pt idx="151">
                  <c:v>965.33608395556087</c:v>
                </c:pt>
                <c:pt idx="152">
                  <c:v>962.86589561122059</c:v>
                </c:pt>
                <c:pt idx="153">
                  <c:v>962.86589561122059</c:v>
                </c:pt>
                <c:pt idx="154">
                  <c:v>955.48613091536731</c:v>
                </c:pt>
                <c:pt idx="155">
                  <c:v>969.94061548920808</c:v>
                </c:pt>
                <c:pt idx="156">
                  <c:v>955.54845387423131</c:v>
                </c:pt>
                <c:pt idx="157">
                  <c:v>926.73362354638175</c:v>
                </c:pt>
                <c:pt idx="158">
                  <c:v>914.9659430710916</c:v>
                </c:pt>
                <c:pt idx="159">
                  <c:v>1052.9659430710917</c:v>
                </c:pt>
                <c:pt idx="160">
                  <c:v>1052.9659430710917</c:v>
                </c:pt>
                <c:pt idx="161">
                  <c:v>1042.8305059326606</c:v>
                </c:pt>
                <c:pt idx="162">
                  <c:v>933.73625088247968</c:v>
                </c:pt>
                <c:pt idx="163">
                  <c:v>876.37123656157792</c:v>
                </c:pt>
                <c:pt idx="164">
                  <c:v>863.994337148162</c:v>
                </c:pt>
                <c:pt idx="165">
                  <c:v>816.30148638061394</c:v>
                </c:pt>
                <c:pt idx="166">
                  <c:v>954.30148638061394</c:v>
                </c:pt>
                <c:pt idx="167">
                  <c:v>954.30148638061394</c:v>
                </c:pt>
                <c:pt idx="168">
                  <c:v>983.0886833858865</c:v>
                </c:pt>
                <c:pt idx="169">
                  <c:v>987.96425164513494</c:v>
                </c:pt>
                <c:pt idx="170">
                  <c:v>1022.5752615533142</c:v>
                </c:pt>
                <c:pt idx="171">
                  <c:v>1033.7323595583518</c:v>
                </c:pt>
                <c:pt idx="172">
                  <c:v>1021.124319108765</c:v>
                </c:pt>
                <c:pt idx="173">
                  <c:v>1006.3114587294452</c:v>
                </c:pt>
                <c:pt idx="174">
                  <c:v>1006.3114587294452</c:v>
                </c:pt>
                <c:pt idx="175">
                  <c:v>999.99834078037827</c:v>
                </c:pt>
                <c:pt idx="176">
                  <c:v>1044.41067318877</c:v>
                </c:pt>
                <c:pt idx="177">
                  <c:v>1039.7308879029879</c:v>
                </c:pt>
                <c:pt idx="178">
                  <c:v>1001.6249858697045</c:v>
                </c:pt>
                <c:pt idx="179">
                  <c:v>962.49007191873943</c:v>
                </c:pt>
                <c:pt idx="180">
                  <c:v>970.83663651115853</c:v>
                </c:pt>
                <c:pt idx="181">
                  <c:v>970.83663651115853</c:v>
                </c:pt>
                <c:pt idx="182">
                  <c:v>954.6495770139918</c:v>
                </c:pt>
                <c:pt idx="183">
                  <c:v>937.88244168373069</c:v>
                </c:pt>
                <c:pt idx="184">
                  <c:v>945.49166230770777</c:v>
                </c:pt>
                <c:pt idx="185">
                  <c:v>964.36906439203335</c:v>
                </c:pt>
                <c:pt idx="186">
                  <c:v>900.78427250058166</c:v>
                </c:pt>
                <c:pt idx="187">
                  <c:v>1043.7842725005817</c:v>
                </c:pt>
                <c:pt idx="188">
                  <c:v>1043.7842725005817</c:v>
                </c:pt>
                <c:pt idx="189">
                  <c:v>1040.9454682893486</c:v>
                </c:pt>
                <c:pt idx="190">
                  <c:v>1015.572565446311</c:v>
                </c:pt>
                <c:pt idx="191">
                  <c:v>1013.2301942133165</c:v>
                </c:pt>
                <c:pt idx="192">
                  <c:v>1023.974352787861</c:v>
                </c:pt>
                <c:pt idx="193">
                  <c:v>880.23907961060763</c:v>
                </c:pt>
                <c:pt idx="194">
                  <c:v>880.23907961060763</c:v>
                </c:pt>
                <c:pt idx="195">
                  <c:v>880.23907961060763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27-4ABA-8222-994F363A4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136288"/>
        <c:axId val="809142192"/>
      </c:lineChart>
      <c:catAx>
        <c:axId val="80913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42192"/>
        <c:crosses val="autoZero"/>
        <c:auto val="1"/>
        <c:lblAlgn val="ctr"/>
        <c:lblOffset val="100"/>
        <c:noMultiLvlLbl val="0"/>
      </c:catAx>
      <c:valAx>
        <c:axId val="80914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</a:t>
                </a:r>
                <a:r>
                  <a:rPr lang="en-GB" baseline="0"/>
                  <a:t> pond size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8864286406450064E-2"/>
              <c:y val="0.129008748556147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3628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  <a:prstDash val="sysDot"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LPS at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 Part C '!$BB$5:$BB$14</c:f>
              <c:strCache>
                <c:ptCount val="10"/>
                <c:pt idx="0">
                  <c:v>&lt;=100</c:v>
                </c:pt>
                <c:pt idx="1">
                  <c:v>101 - 200</c:v>
                </c:pt>
                <c:pt idx="2">
                  <c:v>201 - 300</c:v>
                </c:pt>
                <c:pt idx="3">
                  <c:v>301 - 400</c:v>
                </c:pt>
                <c:pt idx="4">
                  <c:v>401 - 500</c:v>
                </c:pt>
                <c:pt idx="5">
                  <c:v>501 - 600</c:v>
                </c:pt>
                <c:pt idx="6">
                  <c:v>601 - 700</c:v>
                </c:pt>
                <c:pt idx="7">
                  <c:v>701 - 800</c:v>
                </c:pt>
                <c:pt idx="8">
                  <c:v>801 - 900</c:v>
                </c:pt>
                <c:pt idx="9">
                  <c:v>901 +</c:v>
                </c:pt>
              </c:strCache>
            </c:strRef>
          </c:cat>
          <c:val>
            <c:numRef>
              <c:f>'Predictive Model Part C '!$BD$5:$BD$14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27</c:v>
                </c:pt>
                <c:pt idx="3">
                  <c:v>39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4</c:v>
                </c:pt>
                <c:pt idx="8">
                  <c:v>13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8-4C67-B038-F4D63904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734768"/>
        <c:axId val="988731160"/>
      </c:barChart>
      <c:catAx>
        <c:axId val="98873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31160"/>
        <c:crosses val="autoZero"/>
        <c:auto val="1"/>
        <c:lblAlgn val="ctr"/>
        <c:lblOffset val="100"/>
        <c:noMultiLvlLbl val="0"/>
      </c:catAx>
      <c:valAx>
        <c:axId val="9887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3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 added</a:t>
            </a:r>
            <a:r>
              <a:rPr lang="en-GB" baseline="0"/>
              <a:t> during the season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 Part C '!$BF$5:$BF$13</c:f>
              <c:strCache>
                <c:ptCount val="9"/>
                <c:pt idx="0">
                  <c:v>0</c:v>
                </c:pt>
                <c:pt idx="1">
                  <c:v>1 - 25</c:v>
                </c:pt>
                <c:pt idx="2">
                  <c:v>26 - 50</c:v>
                </c:pt>
                <c:pt idx="3">
                  <c:v>51 - 75</c:v>
                </c:pt>
                <c:pt idx="4">
                  <c:v>76 - 100</c:v>
                </c:pt>
                <c:pt idx="5">
                  <c:v>101 - 125</c:v>
                </c:pt>
                <c:pt idx="6">
                  <c:v>126 - 150</c:v>
                </c:pt>
                <c:pt idx="7">
                  <c:v>151 - 175</c:v>
                </c:pt>
                <c:pt idx="8">
                  <c:v>176 +</c:v>
                </c:pt>
              </c:strCache>
            </c:strRef>
          </c:cat>
          <c:val>
            <c:numRef>
              <c:f>'Predictive Model Part C '!$BH$5:$BH$13</c:f>
              <c:numCache>
                <c:formatCode>General</c:formatCode>
                <c:ptCount val="9"/>
                <c:pt idx="0">
                  <c:v>30</c:v>
                </c:pt>
                <c:pt idx="1">
                  <c:v>1</c:v>
                </c:pt>
                <c:pt idx="2">
                  <c:v>6</c:v>
                </c:pt>
                <c:pt idx="3">
                  <c:v>6</c:v>
                </c:pt>
                <c:pt idx="4">
                  <c:v>24</c:v>
                </c:pt>
                <c:pt idx="5">
                  <c:v>20</c:v>
                </c:pt>
                <c:pt idx="6">
                  <c:v>59</c:v>
                </c:pt>
                <c:pt idx="7">
                  <c:v>33</c:v>
                </c:pt>
                <c:pt idx="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6-480B-BFD0-C82B994F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464840"/>
        <c:axId val="750460576"/>
      </c:barChart>
      <c:catAx>
        <c:axId val="750464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460576"/>
        <c:crosses val="autoZero"/>
        <c:auto val="1"/>
        <c:lblAlgn val="ctr"/>
        <c:lblOffset val="100"/>
        <c:noMultiLvlLbl val="0"/>
      </c:catAx>
      <c:valAx>
        <c:axId val="7504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46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Log cut during the season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 Part C '!$BJ$5:$BJ$14</c:f>
              <c:strCache>
                <c:ptCount val="10"/>
                <c:pt idx="0">
                  <c:v>0</c:v>
                </c:pt>
                <c:pt idx="1">
                  <c:v>1 - 20</c:v>
                </c:pt>
                <c:pt idx="2">
                  <c:v> 21 - 40</c:v>
                </c:pt>
                <c:pt idx="3">
                  <c:v> 41 - 60</c:v>
                </c:pt>
                <c:pt idx="4">
                  <c:v> 61 - 80</c:v>
                </c:pt>
                <c:pt idx="5">
                  <c:v>81 - 100</c:v>
                </c:pt>
                <c:pt idx="6">
                  <c:v>101 - 120</c:v>
                </c:pt>
                <c:pt idx="7">
                  <c:v>121 - 140</c:v>
                </c:pt>
                <c:pt idx="8">
                  <c:v>141 - 160</c:v>
                </c:pt>
                <c:pt idx="9">
                  <c:v>161 +</c:v>
                </c:pt>
              </c:strCache>
            </c:strRef>
          </c:cat>
          <c:val>
            <c:numRef>
              <c:f>'Predictive Model Part C '!$BL$5:$BL$14</c:f>
              <c:numCache>
                <c:formatCode>General</c:formatCode>
                <c:ptCount val="10"/>
                <c:pt idx="0">
                  <c:v>63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17</c:v>
                </c:pt>
                <c:pt idx="8">
                  <c:v>36</c:v>
                </c:pt>
                <c:pt idx="9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C-466D-8555-0A0925DC8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742640"/>
        <c:axId val="988745920"/>
      </c:barChart>
      <c:catAx>
        <c:axId val="98874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45920"/>
        <c:crosses val="autoZero"/>
        <c:auto val="1"/>
        <c:lblAlgn val="ctr"/>
        <c:lblOffset val="100"/>
        <c:noMultiLvlLbl val="0"/>
      </c:catAx>
      <c:valAx>
        <c:axId val="9887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log pond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 Part C '!$BN$5:$BN$12</c:f>
              <c:strCache>
                <c:ptCount val="8"/>
                <c:pt idx="0">
                  <c:v>&lt;=440</c:v>
                </c:pt>
                <c:pt idx="1">
                  <c:v>441 - 460</c:v>
                </c:pt>
                <c:pt idx="2">
                  <c:v>461 - 480</c:v>
                </c:pt>
                <c:pt idx="3">
                  <c:v>481 - 500</c:v>
                </c:pt>
                <c:pt idx="4">
                  <c:v>501 - 520</c:v>
                </c:pt>
                <c:pt idx="5">
                  <c:v>521 - 540</c:v>
                </c:pt>
                <c:pt idx="6">
                  <c:v>541 - 560</c:v>
                </c:pt>
                <c:pt idx="7">
                  <c:v>561 - more</c:v>
                </c:pt>
              </c:strCache>
            </c:strRef>
          </c:cat>
          <c:val>
            <c:numRef>
              <c:f>'Predictive Model Part C '!$BP$5:$BP$12</c:f>
              <c:numCache>
                <c:formatCode>General</c:formatCode>
                <c:ptCount val="8"/>
                <c:pt idx="0">
                  <c:v>15</c:v>
                </c:pt>
                <c:pt idx="1">
                  <c:v>8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9</c:v>
                </c:pt>
                <c:pt idx="7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C-4BC0-890C-8D1E49147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3167208"/>
        <c:axId val="1073169176"/>
      </c:barChart>
      <c:catAx>
        <c:axId val="107316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169176"/>
        <c:crosses val="autoZero"/>
        <c:auto val="1"/>
        <c:lblAlgn val="ctr"/>
        <c:lblOffset val="100"/>
        <c:noMultiLvlLbl val="0"/>
      </c:catAx>
      <c:valAx>
        <c:axId val="107316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16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Final pond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'Predictive Model Part C '!$BR$5:$BR$12</c:f>
              <c:strCache>
                <c:ptCount val="8"/>
                <c:pt idx="0">
                  <c:v>&lt;=200</c:v>
                </c:pt>
                <c:pt idx="1">
                  <c:v>201 - 250</c:v>
                </c:pt>
                <c:pt idx="2">
                  <c:v>251 - 300</c:v>
                </c:pt>
                <c:pt idx="3">
                  <c:v>301 - 350</c:v>
                </c:pt>
                <c:pt idx="4">
                  <c:v>351 - 400</c:v>
                </c:pt>
                <c:pt idx="5">
                  <c:v>401 - 450</c:v>
                </c:pt>
                <c:pt idx="6">
                  <c:v>451 - 500</c:v>
                </c:pt>
                <c:pt idx="7">
                  <c:v>501 - 550</c:v>
                </c:pt>
              </c:strCache>
            </c:strRef>
          </c:cat>
          <c:val>
            <c:numRef>
              <c:f>'Predictive Model Part C '!$BT$5:$BT$12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B-4CAA-9F4C-4EE56A8C4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445656"/>
        <c:axId val="806448936"/>
      </c:barChart>
      <c:catAx>
        <c:axId val="80644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48936"/>
        <c:crosses val="autoZero"/>
        <c:auto val="1"/>
        <c:lblAlgn val="ctr"/>
        <c:lblOffset val="100"/>
        <c:noMultiLvlLbl val="0"/>
      </c:catAx>
      <c:valAx>
        <c:axId val="80644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4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E$12" lockText="1" noThreeD="1"/>
</file>

<file path=xl/ctrlProps/ctrlProp2.xml><?xml version="1.0" encoding="utf-8"?>
<formControlPr xmlns="http://schemas.microsoft.com/office/spreadsheetml/2009/9/main" objectType="CheckBox" checked="Checked" fmlaLink="$E$12" lockText="1" noThreeD="1"/>
</file>

<file path=xl/ctrlProps/ctrlProp3.xml><?xml version="1.0" encoding="utf-8"?>
<formControlPr xmlns="http://schemas.microsoft.com/office/spreadsheetml/2009/9/main" objectType="Radio" firstButton="1" fmlaLink="$I$12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255984</xdr:colOff>
      <xdr:row>28</xdr:row>
      <xdr:rowOff>33338</xdr:rowOff>
    </xdr:from>
    <xdr:to>
      <xdr:col>21</xdr:col>
      <xdr:colOff>136922</xdr:colOff>
      <xdr:row>42</xdr:row>
      <xdr:rowOff>109538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494109</xdr:colOff>
      <xdr:row>28</xdr:row>
      <xdr:rowOff>21431</xdr:rowOff>
    </xdr:from>
    <xdr:to>
      <xdr:col>29</xdr:col>
      <xdr:colOff>410765</xdr:colOff>
      <xdr:row>42</xdr:row>
      <xdr:rowOff>97631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113107</xdr:colOff>
      <xdr:row>28</xdr:row>
      <xdr:rowOff>21431</xdr:rowOff>
    </xdr:from>
    <xdr:to>
      <xdr:col>38</xdr:col>
      <xdr:colOff>65482</xdr:colOff>
      <xdr:row>42</xdr:row>
      <xdr:rowOff>97631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46</xdr:row>
      <xdr:rowOff>0</xdr:rowOff>
    </xdr:from>
    <xdr:to>
      <xdr:col>21</xdr:col>
      <xdr:colOff>550069</xdr:colOff>
      <xdr:row>67</xdr:row>
      <xdr:rowOff>78581</xdr:rowOff>
    </xdr:to>
    <xdr:graphicFrame macro="">
      <xdr:nvGraphicFramePr>
        <xdr:cNvPr id="11" name="Chart_196day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406400</xdr:colOff>
          <xdr:row>12</xdr:row>
          <xdr:rowOff>63500</xdr:rowOff>
        </xdr:from>
        <xdr:to>
          <xdr:col>4</xdr:col>
          <xdr:colOff>584200</xdr:colOff>
          <xdr:row>15</xdr:row>
          <xdr:rowOff>114300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Saturday logging active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12</xdr:row>
          <xdr:rowOff>12700</xdr:rowOff>
        </xdr:from>
        <xdr:to>
          <xdr:col>5</xdr:col>
          <xdr:colOff>139700</xdr:colOff>
          <xdr:row>15</xdr:row>
          <xdr:rowOff>63500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Saturday logging active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292100</xdr:colOff>
          <xdr:row>13</xdr:row>
          <xdr:rowOff>0</xdr:rowOff>
        </xdr:from>
        <xdr:to>
          <xdr:col>14</xdr:col>
          <xdr:colOff>241300</xdr:colOff>
          <xdr:row>14</xdr:row>
          <xdr:rowOff>139700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deterministic cutting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292100</xdr:colOff>
          <xdr:row>15</xdr:row>
          <xdr:rowOff>63500</xdr:rowOff>
        </xdr:from>
        <xdr:to>
          <xdr:col>12</xdr:col>
          <xdr:colOff>228600</xdr:colOff>
          <xdr:row>16</xdr:row>
          <xdr:rowOff>114300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stochastic cutting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711200</xdr:colOff>
          <xdr:row>2</xdr:row>
          <xdr:rowOff>0</xdr:rowOff>
        </xdr:from>
        <xdr:to>
          <xdr:col>20</xdr:col>
          <xdr:colOff>533400</xdr:colOff>
          <xdr:row>2</xdr:row>
          <xdr:rowOff>330200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154781</xdr:colOff>
      <xdr:row>26</xdr:row>
      <xdr:rowOff>11905</xdr:rowOff>
    </xdr:from>
    <xdr:to>
      <xdr:col>48</xdr:col>
      <xdr:colOff>47624</xdr:colOff>
      <xdr:row>45</xdr:row>
      <xdr:rowOff>38099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291704</xdr:colOff>
      <xdr:row>14</xdr:row>
      <xdr:rowOff>80962</xdr:rowOff>
    </xdr:from>
    <xdr:to>
      <xdr:col>57</xdr:col>
      <xdr:colOff>5954</xdr:colOff>
      <xdr:row>25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142876</xdr:colOff>
      <xdr:row>14</xdr:row>
      <xdr:rowOff>104774</xdr:rowOff>
    </xdr:from>
    <xdr:to>
      <xdr:col>64</xdr:col>
      <xdr:colOff>464344</xdr:colOff>
      <xdr:row>25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65</xdr:col>
      <xdr:colOff>136922</xdr:colOff>
      <xdr:row>15</xdr:row>
      <xdr:rowOff>21431</xdr:rowOff>
    </xdr:from>
    <xdr:to>
      <xdr:col>72</xdr:col>
      <xdr:colOff>458390</xdr:colOff>
      <xdr:row>26</xdr:row>
      <xdr:rowOff>2381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255984</xdr:colOff>
      <xdr:row>14</xdr:row>
      <xdr:rowOff>116681</xdr:rowOff>
    </xdr:from>
    <xdr:to>
      <xdr:col>80</xdr:col>
      <xdr:colOff>577452</xdr:colOff>
      <xdr:row>25</xdr:row>
      <xdr:rowOff>97631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529827</xdr:colOff>
      <xdr:row>14</xdr:row>
      <xdr:rowOff>116681</xdr:rowOff>
    </xdr:from>
    <xdr:to>
      <xdr:col>89</xdr:col>
      <xdr:colOff>244077</xdr:colOff>
      <xdr:row>25</xdr:row>
      <xdr:rowOff>97631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/Management_Science/Hindleaj/Teaching/Masters%20in%20BA/519/Tellend%20Logging%20(2021%2050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/Management_Science/Hindleaj/Teaching/Masters%20in%20BA/519/Tellend%20Logging%20(my%20version%20for%202019%20519%20cwk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ging Data"/>
      <sheetName val="Cutting Data"/>
      <sheetName val="Investigative Modelling"/>
      <sheetName val="Results"/>
      <sheetName val="marking"/>
      <sheetName val="Usertemplate"/>
      <sheetName val="datatemplate"/>
    </sheetNames>
    <sheetDataSet>
      <sheetData sheetId="0" refreshError="1"/>
      <sheetData sheetId="1" refreshError="1"/>
      <sheetData sheetId="2" refreshError="1">
        <row r="7">
          <cell r="M7">
            <v>48</v>
          </cell>
        </row>
        <row r="8">
          <cell r="M8">
            <v>170</v>
          </cell>
        </row>
        <row r="16">
          <cell r="T16">
            <v>4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ging Data"/>
      <sheetName val="Cutting Data"/>
      <sheetName val="template"/>
      <sheetName val="Results"/>
      <sheetName val="my_model (7x4)"/>
      <sheetName val="519_marking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7">
          <cell r="F17">
            <v>117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5E459-E71D-4F31-BE8F-BE4D1D38FFA0}">
  <sheetPr codeName="Sheet6"/>
  <dimension ref="A1:AC55"/>
  <sheetViews>
    <sheetView tabSelected="1" workbookViewId="0">
      <selection activeCell="D28" sqref="D28"/>
    </sheetView>
  </sheetViews>
  <sheetFormatPr baseColWidth="10" defaultColWidth="8.83203125" defaultRowHeight="15" x14ac:dyDescent="0.2"/>
  <cols>
    <col min="1" max="1" width="5.5" customWidth="1"/>
    <col min="2" max="8" width="9.5" customWidth="1"/>
    <col min="9" max="9" width="5.1640625" customWidth="1"/>
    <col min="10" max="10" width="13.33203125" customWidth="1"/>
    <col min="11" max="11" width="3.1640625" customWidth="1"/>
    <col min="12" max="12" width="7.6640625" customWidth="1"/>
    <col min="13" max="13" width="4.5" customWidth="1"/>
    <col min="14" max="14" width="17.1640625" customWidth="1"/>
    <col min="15" max="15" width="9.6640625" customWidth="1"/>
    <col min="16" max="16" width="4.83203125" customWidth="1"/>
    <col min="17" max="17" width="4" customWidth="1"/>
  </cols>
  <sheetData>
    <row r="1" spans="1:29" x14ac:dyDescent="0.2">
      <c r="A1" s="1"/>
      <c r="B1" s="1"/>
      <c r="C1" s="1"/>
      <c r="D1" s="1"/>
      <c r="E1" s="2"/>
      <c r="F1" s="1"/>
      <c r="G1" s="3"/>
      <c r="H1" s="3"/>
      <c r="I1" s="4" t="s">
        <v>0</v>
      </c>
      <c r="J1" s="2">
        <v>25</v>
      </c>
      <c r="K1" s="1"/>
      <c r="L1" s="1"/>
      <c r="M1" s="1"/>
      <c r="N1" s="5" t="s">
        <v>1</v>
      </c>
      <c r="O1" s="5" t="s">
        <v>2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2">
      <c r="A2" s="1"/>
      <c r="B2" s="6" t="s">
        <v>3</v>
      </c>
      <c r="C2" s="1"/>
      <c r="D2" s="1"/>
      <c r="E2" s="1"/>
      <c r="F2" s="1"/>
      <c r="G2" s="1"/>
      <c r="H2" s="1"/>
      <c r="I2" s="1"/>
      <c r="J2" s="7"/>
      <c r="K2" s="1"/>
      <c r="L2" s="1"/>
      <c r="M2" s="3" t="s">
        <v>4</v>
      </c>
      <c r="N2" s="8" t="s">
        <v>129</v>
      </c>
      <c r="O2" s="127" t="s">
        <v>165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1"/>
      <c r="B3" s="1"/>
      <c r="C3" s="1"/>
      <c r="D3" s="1"/>
      <c r="E3" s="1"/>
      <c r="F3" s="1"/>
      <c r="G3" s="1"/>
      <c r="H3" s="1"/>
      <c r="I3" s="1"/>
      <c r="J3" s="9" t="s">
        <v>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3">
        <v>1</v>
      </c>
      <c r="B4" s="10" t="s">
        <v>6</v>
      </c>
      <c r="C4" s="1"/>
      <c r="D4" s="1"/>
      <c r="E4" s="1"/>
      <c r="F4" s="1"/>
      <c r="G4" s="1"/>
      <c r="H4" s="1"/>
      <c r="I4" s="1"/>
      <c r="J4" s="117">
        <f>'Data for 2021'!K6</f>
        <v>1204</v>
      </c>
      <c r="K4" s="1"/>
      <c r="L4" s="1"/>
      <c r="M4" s="10" t="s">
        <v>7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5.25" customHeight="1" x14ac:dyDescent="0.2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3">
        <v>2</v>
      </c>
      <c r="B6" s="10" t="s">
        <v>8</v>
      </c>
      <c r="C6" s="1"/>
      <c r="D6" s="1"/>
      <c r="E6" s="1"/>
      <c r="F6" s="1"/>
      <c r="G6" s="1"/>
      <c r="H6" s="1"/>
      <c r="I6" s="1"/>
      <c r="J6" s="12">
        <f>'Data for 2021'!K13</f>
        <v>156</v>
      </c>
      <c r="K6" s="1"/>
      <c r="L6" s="1"/>
      <c r="M6" s="10" t="s">
        <v>9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5.25" customHeight="1" x14ac:dyDescent="0.2">
      <c r="A7" s="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3">
        <v>3</v>
      </c>
      <c r="B8" s="10" t="s">
        <v>10</v>
      </c>
      <c r="C8" s="1"/>
      <c r="D8" s="1"/>
      <c r="E8" s="1"/>
      <c r="F8" s="1"/>
      <c r="G8" s="1"/>
      <c r="H8" s="1"/>
      <c r="I8" s="1"/>
      <c r="J8" s="12">
        <f>'Data for 2021'!K14</f>
        <v>12</v>
      </c>
      <c r="K8" s="1"/>
      <c r="L8" s="1"/>
      <c r="M8" s="10" t="s">
        <v>11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5.25" customHeight="1" x14ac:dyDescent="0.2">
      <c r="A9" s="3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2">
      <c r="A10" s="3">
        <v>4</v>
      </c>
      <c r="B10" s="10" t="s">
        <v>12</v>
      </c>
      <c r="C10" s="1"/>
      <c r="D10" s="1"/>
      <c r="E10" s="1"/>
      <c r="F10" s="1"/>
      <c r="G10" s="1"/>
      <c r="H10" s="1"/>
      <c r="I10" s="1"/>
      <c r="J10" s="11" t="str">
        <f>'Data for 2021'!L15</f>
        <v>Tuesday</v>
      </c>
      <c r="K10" s="1"/>
      <c r="L10" s="1"/>
      <c r="M10" s="13" t="s">
        <v>13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5.25" customHeight="1" x14ac:dyDescent="0.2">
      <c r="A11" s="3"/>
      <c r="B11" s="10"/>
      <c r="C11" s="1"/>
      <c r="D11" s="1"/>
      <c r="E11" s="1"/>
      <c r="F11" s="1"/>
      <c r="G11" s="1"/>
      <c r="H11" s="1"/>
      <c r="I11" s="1"/>
      <c r="J11" s="1"/>
      <c r="K11" s="1"/>
      <c r="L11" s="1"/>
      <c r="M11" s="14"/>
      <c r="N11" s="15"/>
      <c r="O11" s="15"/>
      <c r="P11" s="15"/>
      <c r="Q11" s="16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" customHeight="1" x14ac:dyDescent="0.2">
      <c r="A12" s="3">
        <v>5</v>
      </c>
      <c r="B12" s="10" t="s">
        <v>14</v>
      </c>
      <c r="C12" s="1"/>
      <c r="D12" s="1"/>
      <c r="E12" s="1"/>
      <c r="F12" s="1"/>
      <c r="G12" s="1"/>
      <c r="H12" s="1"/>
      <c r="I12" s="3"/>
      <c r="J12" s="118" t="s">
        <v>159</v>
      </c>
      <c r="K12" s="1"/>
      <c r="L12" s="1"/>
      <c r="M12" s="17" t="s">
        <v>15</v>
      </c>
      <c r="N12" s="18">
        <v>170</v>
      </c>
      <c r="O12" s="18" t="s">
        <v>16</v>
      </c>
      <c r="P12" s="19">
        <v>4</v>
      </c>
      <c r="Q12" s="20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5.25" customHeight="1" x14ac:dyDescent="0.2">
      <c r="A13" s="3"/>
      <c r="B13" s="1"/>
      <c r="C13" s="1"/>
      <c r="D13" s="1"/>
      <c r="E13" s="1"/>
      <c r="F13" s="1"/>
      <c r="G13" s="1"/>
      <c r="H13" s="1"/>
      <c r="I13" s="21"/>
      <c r="J13" s="1"/>
      <c r="K13" s="1"/>
      <c r="L13" s="1"/>
      <c r="M13" s="17"/>
      <c r="N13" s="19"/>
      <c r="O13" s="18"/>
      <c r="P13" s="19"/>
      <c r="Q13" s="20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" customHeight="1" x14ac:dyDescent="0.2">
      <c r="A14" s="3">
        <v>6</v>
      </c>
      <c r="B14" s="10" t="s">
        <v>17</v>
      </c>
      <c r="C14" s="1"/>
      <c r="D14" s="1"/>
      <c r="E14" s="1"/>
      <c r="F14" s="1"/>
      <c r="G14" s="1"/>
      <c r="H14" s="1"/>
      <c r="I14" s="21"/>
      <c r="J14" s="11">
        <f>'Data for 2021'!K10</f>
        <v>17</v>
      </c>
      <c r="K14" s="1"/>
      <c r="L14" s="1"/>
      <c r="M14" s="17" t="s">
        <v>18</v>
      </c>
      <c r="N14" s="18">
        <v>69</v>
      </c>
      <c r="O14" s="18" t="s">
        <v>19</v>
      </c>
      <c r="P14" s="19">
        <v>4</v>
      </c>
      <c r="Q14" s="20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5.25" customHeight="1" x14ac:dyDescent="0.2">
      <c r="A15" s="3"/>
      <c r="B15" s="1"/>
      <c r="C15" s="1"/>
      <c r="D15" s="1"/>
      <c r="E15" s="1"/>
      <c r="F15" s="1"/>
      <c r="G15" s="1"/>
      <c r="H15" s="1"/>
      <c r="I15" s="21"/>
      <c r="J15" s="1"/>
      <c r="K15" s="1"/>
      <c r="L15" s="1"/>
      <c r="M15" s="17"/>
      <c r="N15" s="19"/>
      <c r="O15" s="22"/>
      <c r="P15" s="19"/>
      <c r="Q15" s="20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" customHeight="1" x14ac:dyDescent="0.2">
      <c r="A16" s="3">
        <v>7</v>
      </c>
      <c r="B16" s="10" t="s">
        <v>20</v>
      </c>
      <c r="C16" s="1"/>
      <c r="D16" s="1"/>
      <c r="E16" s="1"/>
      <c r="F16" s="1"/>
      <c r="G16" s="1"/>
      <c r="H16" s="1"/>
      <c r="I16" s="3"/>
      <c r="J16" s="116">
        <f>'Data for 2021'!H5</f>
        <v>132.91970802919707</v>
      </c>
      <c r="K16" s="1"/>
      <c r="L16" s="1"/>
      <c r="M16" s="17" t="s">
        <v>21</v>
      </c>
      <c r="N16" s="18">
        <v>500</v>
      </c>
      <c r="O16" s="18" t="s">
        <v>22</v>
      </c>
      <c r="P16" s="19">
        <v>4</v>
      </c>
      <c r="Q16" s="2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5.25" customHeight="1" x14ac:dyDescent="0.2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3"/>
      <c r="N17" s="19"/>
      <c r="O17" s="22"/>
      <c r="P17" s="19"/>
      <c r="Q17" s="20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ht="15" customHeight="1" x14ac:dyDescent="0.2">
      <c r="A18" s="3">
        <v>8</v>
      </c>
      <c r="B18" s="10" t="s">
        <v>23</v>
      </c>
      <c r="C18" s="1"/>
      <c r="D18" s="1"/>
      <c r="E18" s="1"/>
      <c r="F18" s="1"/>
      <c r="G18" s="1"/>
      <c r="H18" s="1"/>
      <c r="I18" s="1"/>
      <c r="J18" s="116">
        <f>'Data for 2021'!H7</f>
        <v>139.43333333333334</v>
      </c>
      <c r="K18" s="1"/>
      <c r="L18" s="1"/>
      <c r="M18" s="17" t="s">
        <v>24</v>
      </c>
      <c r="N18" s="18">
        <v>25</v>
      </c>
      <c r="O18" s="18" t="s">
        <v>25</v>
      </c>
      <c r="P18" s="19">
        <v>4</v>
      </c>
      <c r="Q18" s="20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ht="5.25" customHeight="1" x14ac:dyDescent="0.2">
      <c r="A19" s="3"/>
      <c r="B19" s="10"/>
      <c r="C19" s="1"/>
      <c r="D19" s="1"/>
      <c r="E19" s="1"/>
      <c r="F19" s="1"/>
      <c r="G19" s="1"/>
      <c r="H19" s="1"/>
      <c r="I19" s="1"/>
      <c r="J19" s="1"/>
      <c r="K19" s="1"/>
      <c r="L19" s="1"/>
      <c r="M19" s="23"/>
      <c r="N19" s="18"/>
      <c r="O19" s="22"/>
      <c r="P19" s="19"/>
      <c r="Q19" s="20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ht="15" customHeight="1" x14ac:dyDescent="0.2">
      <c r="A20" s="3">
        <v>9</v>
      </c>
      <c r="B20" s="10" t="s">
        <v>26</v>
      </c>
      <c r="C20" s="1"/>
      <c r="D20" s="1"/>
      <c r="E20" s="1"/>
      <c r="F20" s="1"/>
      <c r="G20" s="1"/>
      <c r="H20" s="1"/>
      <c r="I20" s="1"/>
      <c r="J20" s="11">
        <f>Final_size</f>
        <v>172</v>
      </c>
      <c r="K20" s="1"/>
      <c r="L20" s="1"/>
      <c r="M20" s="17" t="s">
        <v>27</v>
      </c>
      <c r="N20" s="18">
        <v>20</v>
      </c>
      <c r="O20" s="18" t="s">
        <v>28</v>
      </c>
      <c r="P20" s="19">
        <v>5</v>
      </c>
      <c r="Q20" s="20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5.25" customHeight="1" x14ac:dyDescent="0.2">
      <c r="A21" s="3"/>
      <c r="B21" s="10"/>
      <c r="C21" s="1"/>
      <c r="D21" s="1"/>
      <c r="E21" s="1"/>
      <c r="F21" s="1"/>
      <c r="G21" s="1"/>
      <c r="H21" s="1"/>
      <c r="I21" s="1"/>
      <c r="J21" s="1"/>
      <c r="K21" s="1"/>
      <c r="L21" s="1"/>
      <c r="M21" s="23"/>
      <c r="N21" s="19"/>
      <c r="O21" s="22"/>
      <c r="P21" s="19"/>
      <c r="Q21" s="20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" customHeight="1" x14ac:dyDescent="0.2">
      <c r="A22" s="3">
        <v>10</v>
      </c>
      <c r="B22" s="10" t="s">
        <v>29</v>
      </c>
      <c r="C22" s="1"/>
      <c r="D22" s="1"/>
      <c r="E22" s="1"/>
      <c r="F22" s="1"/>
      <c r="G22" s="1"/>
      <c r="H22" s="1"/>
      <c r="I22" s="1"/>
      <c r="J22" s="116">
        <f>'Data for 2021'!I5</f>
        <v>132.24460431654677</v>
      </c>
      <c r="K22" s="1"/>
      <c r="L22" s="1"/>
      <c r="M22" s="15"/>
      <c r="N22" s="16"/>
      <c r="O22" s="18" t="s">
        <v>30</v>
      </c>
      <c r="P22" s="19">
        <v>5</v>
      </c>
      <c r="Q22" s="20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5.2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9"/>
      <c r="N23" s="20"/>
      <c r="O23" s="22"/>
      <c r="P23" s="19"/>
      <c r="Q23" s="20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" customHeight="1" x14ac:dyDescent="0.2">
      <c r="A24" s="3"/>
      <c r="B24" s="6" t="s">
        <v>31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9"/>
      <c r="N24" s="20"/>
      <c r="O24" s="18" t="s">
        <v>32</v>
      </c>
      <c r="P24" s="19">
        <v>5</v>
      </c>
      <c r="Q24" s="20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5.25" customHeight="1" x14ac:dyDescent="0.2">
      <c r="A25" s="3"/>
      <c r="B25" s="10"/>
      <c r="C25" s="1"/>
      <c r="D25" s="1"/>
      <c r="E25" s="1"/>
      <c r="F25" s="1"/>
      <c r="G25" s="1"/>
      <c r="H25" s="1"/>
      <c r="I25" s="1"/>
      <c r="J25" s="1"/>
      <c r="K25" s="1"/>
      <c r="L25" s="1"/>
      <c r="M25" s="19"/>
      <c r="N25" s="20"/>
      <c r="O25" s="22"/>
      <c r="P25" s="19"/>
      <c r="Q25" s="20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" customHeight="1" x14ac:dyDescent="0.2">
      <c r="A26" s="3">
        <v>1</v>
      </c>
      <c r="B26" s="10" t="s">
        <v>33</v>
      </c>
      <c r="C26" s="1"/>
      <c r="D26" s="1"/>
      <c r="E26" s="1"/>
      <c r="F26" s="1"/>
      <c r="G26" s="1"/>
      <c r="H26" s="1"/>
      <c r="I26" s="1"/>
      <c r="J26" s="11">
        <f>'Predictive Modelling 2022'!K6</f>
        <v>1161</v>
      </c>
      <c r="K26" s="1"/>
      <c r="L26" s="19"/>
      <c r="M26" s="19"/>
      <c r="N26" s="20"/>
      <c r="O26" s="18" t="s">
        <v>34</v>
      </c>
      <c r="P26" s="19">
        <v>5</v>
      </c>
      <c r="Q26" s="20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5.25" customHeight="1" x14ac:dyDescent="0.2">
      <c r="A27" s="3"/>
      <c r="B27" s="1"/>
      <c r="C27" s="1"/>
      <c r="D27" s="1"/>
      <c r="E27" s="1"/>
      <c r="F27" s="1"/>
      <c r="G27" s="1"/>
      <c r="H27" s="1"/>
      <c r="I27" s="1"/>
      <c r="J27" s="1"/>
      <c r="K27" s="1"/>
      <c r="L27" s="19"/>
      <c r="M27" s="19"/>
      <c r="N27" s="20"/>
      <c r="O27" s="22"/>
      <c r="P27" s="19"/>
      <c r="Q27" s="20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" customHeight="1" x14ac:dyDescent="0.2">
      <c r="A28" s="3">
        <v>2</v>
      </c>
      <c r="B28" s="10" t="s">
        <v>26</v>
      </c>
      <c r="C28" s="1"/>
      <c r="D28" s="1"/>
      <c r="E28" s="1"/>
      <c r="F28" s="1"/>
      <c r="G28" s="1"/>
      <c r="H28" s="1"/>
      <c r="I28" s="1"/>
      <c r="J28" s="11">
        <f>'Predictive Modelling 2022'!Final_size</f>
        <v>0</v>
      </c>
      <c r="K28" s="1"/>
      <c r="L28" s="19"/>
      <c r="M28" s="19"/>
      <c r="N28" s="20"/>
      <c r="O28" s="18" t="s">
        <v>35</v>
      </c>
      <c r="P28" s="19">
        <v>5</v>
      </c>
      <c r="Q28" s="20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5.25" customHeight="1" x14ac:dyDescent="0.2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  <c r="L29" s="19"/>
      <c r="M29" s="19"/>
      <c r="N29" s="20"/>
      <c r="O29" s="22"/>
      <c r="P29" s="19"/>
      <c r="Q29" s="20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" customHeight="1" x14ac:dyDescent="0.2">
      <c r="A30" s="3">
        <v>3</v>
      </c>
      <c r="B30" s="10" t="s">
        <v>36</v>
      </c>
      <c r="C30" s="1"/>
      <c r="D30" s="1"/>
      <c r="E30" s="1"/>
      <c r="F30" s="1"/>
      <c r="G30" s="1"/>
      <c r="H30" s="1"/>
      <c r="I30" s="1"/>
      <c r="J30" s="11">
        <f>'Predictive Modelling 2022'!K10</f>
        <v>17</v>
      </c>
      <c r="K30" s="1"/>
      <c r="L30" s="19"/>
      <c r="M30" s="19"/>
      <c r="N30" s="20"/>
      <c r="O30" s="18" t="s">
        <v>37</v>
      </c>
      <c r="P30" s="19">
        <v>5</v>
      </c>
      <c r="Q30" s="20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5.25" customHeight="1" x14ac:dyDescent="0.2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  <c r="L31" s="19"/>
      <c r="M31" s="19"/>
      <c r="N31" s="20"/>
      <c r="O31" s="22"/>
      <c r="P31" s="19"/>
      <c r="Q31" s="20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" customHeight="1" x14ac:dyDescent="0.2">
      <c r="A32" s="3">
        <v>4</v>
      </c>
      <c r="B32" s="10" t="s">
        <v>38</v>
      </c>
      <c r="C32" s="1"/>
      <c r="D32" s="1"/>
      <c r="E32" s="1"/>
      <c r="F32" s="1"/>
      <c r="G32" s="1"/>
      <c r="H32" s="1"/>
      <c r="I32" s="1"/>
      <c r="J32" s="11">
        <f>'Predictive Modelling 2022'!R35</f>
        <v>11</v>
      </c>
      <c r="K32" s="1"/>
      <c r="L32" s="19"/>
      <c r="M32" s="19"/>
      <c r="N32" s="20"/>
      <c r="O32" s="18" t="s">
        <v>39</v>
      </c>
      <c r="P32" s="19">
        <v>5</v>
      </c>
      <c r="Q32" s="20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5.25" customHeight="1" x14ac:dyDescent="0.2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  <c r="L33" s="19"/>
      <c r="M33" s="19"/>
      <c r="N33" s="20"/>
      <c r="O33" s="22"/>
      <c r="P33" s="19"/>
      <c r="Q33" s="20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" customHeight="1" x14ac:dyDescent="0.2">
      <c r="A34" s="3">
        <v>5</v>
      </c>
      <c r="B34" s="10" t="s">
        <v>40</v>
      </c>
      <c r="C34" s="1"/>
      <c r="D34" s="1"/>
      <c r="E34" s="1"/>
      <c r="F34" s="1"/>
      <c r="G34" s="1"/>
      <c r="H34" s="1"/>
      <c r="I34" s="1"/>
      <c r="J34" s="11">
        <f>'Predictive Modelling 2022'!I6</f>
        <v>211</v>
      </c>
      <c r="K34" s="1"/>
      <c r="L34" s="19"/>
      <c r="M34" s="19"/>
      <c r="N34" s="20"/>
      <c r="O34" s="18" t="s">
        <v>41</v>
      </c>
      <c r="P34" s="19">
        <v>6</v>
      </c>
      <c r="Q34" s="20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5.25" customHeight="1" x14ac:dyDescent="0.2">
      <c r="A35" s="3"/>
      <c r="B35" s="10"/>
      <c r="C35" s="1"/>
      <c r="D35" s="1"/>
      <c r="E35" s="1"/>
      <c r="F35" s="1"/>
      <c r="G35" s="1"/>
      <c r="H35" s="1"/>
      <c r="I35" s="1"/>
      <c r="J35" s="1"/>
      <c r="K35" s="1"/>
      <c r="L35" s="19"/>
      <c r="M35" s="19"/>
      <c r="N35" s="20"/>
      <c r="O35" s="22"/>
      <c r="P35" s="19"/>
      <c r="Q35" s="20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" customHeight="1" x14ac:dyDescent="0.2">
      <c r="A36" s="3">
        <v>6</v>
      </c>
      <c r="B36" s="10" t="s">
        <v>42</v>
      </c>
      <c r="C36" s="1"/>
      <c r="D36" s="1"/>
      <c r="E36" s="1"/>
      <c r="F36" s="1"/>
      <c r="G36" s="1"/>
      <c r="H36" s="1"/>
      <c r="I36" s="1"/>
      <c r="J36" s="11">
        <f>'Predictive Modelling 2022'!I10</f>
        <v>10</v>
      </c>
      <c r="K36" s="1"/>
      <c r="L36" s="19"/>
      <c r="M36" s="19"/>
      <c r="N36" s="20"/>
      <c r="O36" s="18" t="s">
        <v>43</v>
      </c>
      <c r="P36" s="19">
        <v>6</v>
      </c>
      <c r="Q36" s="2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5.25" customHeight="1" x14ac:dyDescent="0.2">
      <c r="A37" s="3"/>
      <c r="B37" s="1"/>
      <c r="C37" s="1"/>
      <c r="D37" s="1"/>
      <c r="E37" s="1"/>
      <c r="F37" s="1"/>
      <c r="G37" s="1"/>
      <c r="H37" s="1"/>
      <c r="I37" s="1"/>
      <c r="J37" s="1"/>
      <c r="K37" s="1"/>
      <c r="L37" s="19"/>
      <c r="M37" s="19"/>
      <c r="N37" s="20"/>
      <c r="O37" s="22"/>
      <c r="P37" s="19"/>
      <c r="Q37" s="2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" customHeight="1" x14ac:dyDescent="0.2">
      <c r="A38" s="3">
        <v>7</v>
      </c>
      <c r="B38" s="10" t="s">
        <v>44</v>
      </c>
      <c r="C38" s="1"/>
      <c r="D38" s="1"/>
      <c r="E38" s="1"/>
      <c r="F38" s="1"/>
      <c r="G38" s="1"/>
      <c r="H38" s="1"/>
      <c r="I38" s="1"/>
      <c r="J38" s="11">
        <f>'Predictive Modelling 2022'!R10</f>
        <v>142</v>
      </c>
      <c r="K38" s="1"/>
      <c r="L38" s="19"/>
      <c r="M38" s="19"/>
      <c r="N38" s="20"/>
      <c r="O38" s="18" t="s">
        <v>45</v>
      </c>
      <c r="P38" s="19">
        <v>6</v>
      </c>
      <c r="Q38" s="2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5.25" customHeight="1" x14ac:dyDescent="0.2">
      <c r="A39" s="3"/>
      <c r="B39" s="1"/>
      <c r="C39" s="1"/>
      <c r="D39" s="1"/>
      <c r="E39" s="1"/>
      <c r="F39" s="1"/>
      <c r="G39" s="1"/>
      <c r="H39" s="1"/>
      <c r="I39" s="1"/>
      <c r="J39" s="1"/>
      <c r="K39" s="1"/>
      <c r="L39" s="19"/>
      <c r="M39" s="19"/>
      <c r="N39" s="20"/>
      <c r="O39" s="24"/>
      <c r="P39" s="24"/>
      <c r="Q39" s="25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5" customHeight="1" x14ac:dyDescent="0.2">
      <c r="A40" s="3">
        <v>8</v>
      </c>
      <c r="B40" s="10" t="s">
        <v>42</v>
      </c>
      <c r="C40" s="1"/>
      <c r="D40" s="1"/>
      <c r="E40" s="1"/>
      <c r="F40" s="1"/>
      <c r="G40" s="1"/>
      <c r="H40" s="1"/>
      <c r="I40" s="1"/>
      <c r="J40" s="11">
        <f>'Predictive Modelling 2022'!S10</f>
        <v>4</v>
      </c>
      <c r="K40" s="1"/>
      <c r="L40" s="19"/>
      <c r="M40" s="19"/>
      <c r="N40" s="19"/>
      <c r="O40" s="19"/>
      <c r="P40" s="19"/>
      <c r="Q40" s="19"/>
      <c r="R40" s="19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5.25" customHeight="1" x14ac:dyDescent="0.2">
      <c r="A41" s="3"/>
      <c r="B41" s="1"/>
      <c r="C41" s="1"/>
      <c r="D41" s="1"/>
      <c r="E41" s="1"/>
      <c r="F41" s="1"/>
      <c r="G41" s="1"/>
      <c r="H41" s="1"/>
      <c r="I41" s="1"/>
      <c r="J41" s="1"/>
      <c r="K41" s="1"/>
      <c r="L41" s="19"/>
      <c r="M41" s="19"/>
      <c r="N41" s="19"/>
      <c r="O41" s="19"/>
      <c r="P41" s="19"/>
      <c r="Q41" s="19"/>
      <c r="R41" s="19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5" customHeight="1" x14ac:dyDescent="0.2">
      <c r="A42" s="3">
        <v>9</v>
      </c>
      <c r="B42" s="10" t="s">
        <v>46</v>
      </c>
      <c r="C42" s="1"/>
      <c r="D42" s="1"/>
      <c r="E42" s="1"/>
      <c r="F42" s="1"/>
      <c r="G42" s="1"/>
      <c r="H42" s="1"/>
      <c r="I42" s="1"/>
      <c r="J42" s="11">
        <f>'Predictive Modelling 2022'!U5</f>
        <v>3</v>
      </c>
      <c r="K42" s="1"/>
      <c r="L42" s="19"/>
      <c r="M42" s="19"/>
      <c r="N42" s="19"/>
      <c r="O42" s="19"/>
      <c r="P42" s="19"/>
      <c r="Q42" s="19"/>
      <c r="R42" s="19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5.25" customHeight="1" x14ac:dyDescent="0.2">
      <c r="A43" s="3"/>
      <c r="B43" s="1"/>
      <c r="C43" s="1"/>
      <c r="D43" s="1"/>
      <c r="E43" s="1"/>
      <c r="F43" s="1"/>
      <c r="G43" s="1"/>
      <c r="H43" s="1"/>
      <c r="I43" s="1"/>
      <c r="J43" s="1"/>
      <c r="K43" s="1"/>
      <c r="L43" s="19"/>
      <c r="M43" s="19"/>
      <c r="N43" s="19"/>
      <c r="O43" s="19"/>
      <c r="P43" s="19"/>
      <c r="Q43" s="19"/>
      <c r="R43" s="19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3">
        <v>10</v>
      </c>
      <c r="B44" s="10" t="s">
        <v>47</v>
      </c>
      <c r="C44" s="1"/>
      <c r="D44" s="1"/>
      <c r="E44" s="1"/>
      <c r="F44" s="1"/>
      <c r="G44" s="1"/>
      <c r="H44" s="1"/>
      <c r="I44" s="1"/>
      <c r="J44" s="11">
        <f>'Predictive Modelling 2022'!U7</f>
        <v>4</v>
      </c>
      <c r="K44" s="1"/>
      <c r="L44" s="1"/>
      <c r="M44" s="19"/>
      <c r="N44" s="1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5.25" customHeight="1" x14ac:dyDescent="0.2">
      <c r="A45" s="2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21"/>
      <c r="B46" s="6" t="s">
        <v>48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</row>
    <row r="47" spans="1:29" x14ac:dyDescent="0.2">
      <c r="A47" s="21"/>
      <c r="B47" s="10" t="s">
        <v>49</v>
      </c>
      <c r="C47" s="21"/>
      <c r="D47" s="21"/>
      <c r="E47" s="21"/>
      <c r="F47" s="21"/>
      <c r="G47" s="21"/>
      <c r="H47" s="21"/>
      <c r="I47" s="21"/>
      <c r="J47" s="118" t="s">
        <v>157</v>
      </c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</row>
    <row r="48" spans="1:29" ht="5.25" customHeight="1" x14ac:dyDescent="0.2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</row>
    <row r="49" spans="1:29" x14ac:dyDescent="0.2">
      <c r="A49" s="21"/>
      <c r="B49" s="6" t="s">
        <v>50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</row>
    <row r="50" spans="1:29" x14ac:dyDescent="0.2">
      <c r="A50" s="21"/>
      <c r="B50" s="10" t="s">
        <v>49</v>
      </c>
      <c r="C50" s="21"/>
      <c r="D50" s="21"/>
      <c r="E50" s="21"/>
      <c r="F50" s="21"/>
      <c r="G50" s="21"/>
      <c r="H50" s="21"/>
      <c r="I50" s="21"/>
      <c r="J50" s="118" t="s">
        <v>164</v>
      </c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</row>
    <row r="51" spans="1:29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</row>
    <row r="52" spans="1:29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</row>
    <row r="53" spans="1:29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</row>
    <row r="54" spans="1:29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</row>
    <row r="55" spans="1:29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</row>
  </sheetData>
  <hyperlinks>
    <hyperlink ref="J47" location="PartC_answers" display="Part C Answers" xr:uid="{3B736EBC-C3C5-4AA0-8F08-3EA934E4BC61}"/>
    <hyperlink ref="J12" location="Chart_LPS196" display="Chart_LPS196" xr:uid="{A9991B95-E11B-4EE0-ADAD-A7038805DC62}"/>
    <hyperlink ref="J50" location="PartD_answers" display="Part D Answers" xr:uid="{839A7865-DD85-4A04-B81F-2199A896496B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9C9-2201-40F7-93B3-A043714D5461}">
  <sheetPr codeName="Sheet4"/>
  <dimension ref="A1:BT221"/>
  <sheetViews>
    <sheetView zoomScale="80" zoomScaleNormal="80" workbookViewId="0">
      <selection activeCell="D174" sqref="D174"/>
    </sheetView>
  </sheetViews>
  <sheetFormatPr baseColWidth="10" defaultColWidth="8.83203125" defaultRowHeight="15" x14ac:dyDescent="0.2"/>
  <cols>
    <col min="1" max="1" width="9.1640625" customWidth="1"/>
    <col min="2" max="2" width="8.6640625" style="72" customWidth="1"/>
    <col min="3" max="3" width="9.5" customWidth="1"/>
    <col min="10" max="10" width="10.5" bestFit="1" customWidth="1"/>
    <col min="11" max="11" width="10.33203125" bestFit="1" customWidth="1"/>
    <col min="12" max="12" width="12.83203125" customWidth="1"/>
    <col min="13" max="13" width="9.1640625" customWidth="1"/>
    <col min="14" max="14" width="10.33203125" customWidth="1"/>
    <col min="16" max="16" width="15.33203125" bestFit="1" customWidth="1"/>
    <col min="17" max="17" width="5.5" bestFit="1" customWidth="1"/>
    <col min="21" max="21" width="2.6640625" customWidth="1"/>
    <col min="23" max="23" width="12.5" customWidth="1"/>
    <col min="28" max="28" width="2.6640625" customWidth="1"/>
    <col min="34" max="34" width="11.83203125" customWidth="1"/>
    <col min="35" max="35" width="2.83203125" customWidth="1"/>
  </cols>
  <sheetData>
    <row r="1" spans="1:72" x14ac:dyDescent="0.2">
      <c r="A1" s="26"/>
      <c r="B1" s="69"/>
      <c r="C1" s="28"/>
      <c r="D1" s="27" t="s">
        <v>51</v>
      </c>
      <c r="E1" s="27"/>
      <c r="F1" s="27"/>
      <c r="G1" s="27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31"/>
      <c r="AI1" s="31"/>
      <c r="AJ1" s="31"/>
      <c r="AK1" s="64"/>
      <c r="AL1" s="64"/>
      <c r="AM1" s="64"/>
      <c r="AN1" s="64"/>
      <c r="AO1" s="64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</row>
    <row r="2" spans="1:72" x14ac:dyDescent="0.2">
      <c r="A2" s="59" t="s">
        <v>63</v>
      </c>
      <c r="B2" s="60"/>
      <c r="C2" s="59"/>
      <c r="D2" s="46"/>
      <c r="E2" s="46"/>
      <c r="F2" s="46"/>
      <c r="G2" s="46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64"/>
      <c r="AL2" s="64"/>
      <c r="AM2" s="64"/>
      <c r="AN2" s="64"/>
      <c r="AO2" s="64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</row>
    <row r="3" spans="1:72" x14ac:dyDescent="0.2">
      <c r="A3" s="59" t="s">
        <v>64</v>
      </c>
      <c r="B3" s="60" t="s">
        <v>65</v>
      </c>
      <c r="C3" s="59"/>
      <c r="D3" s="59"/>
      <c r="E3" s="46"/>
      <c r="F3" s="46"/>
      <c r="G3" s="66"/>
      <c r="H3" s="31"/>
      <c r="I3" s="31"/>
      <c r="J3" s="31"/>
      <c r="K3" s="31" t="s">
        <v>178</v>
      </c>
      <c r="L3" s="31"/>
      <c r="M3" s="31" t="s">
        <v>179</v>
      </c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64"/>
      <c r="AL3" s="64"/>
      <c r="AM3" s="64"/>
      <c r="AN3" s="64"/>
      <c r="AO3" s="64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</row>
    <row r="4" spans="1:72" x14ac:dyDescent="0.2">
      <c r="A4" s="59">
        <v>1</v>
      </c>
      <c r="B4" s="43">
        <v>4</v>
      </c>
      <c r="C4" s="59"/>
      <c r="D4" s="46"/>
      <c r="E4" s="46"/>
      <c r="F4" s="46"/>
      <c r="G4" s="66" t="s">
        <v>87</v>
      </c>
      <c r="H4" s="80">
        <f>AVERAGE(H19:H214)</f>
        <v>92.908163265306129</v>
      </c>
      <c r="I4" s="75">
        <f>AVERAGE(I19:I214)</f>
        <v>93.785714285714292</v>
      </c>
      <c r="J4" s="31" t="s">
        <v>79</v>
      </c>
      <c r="K4" s="75">
        <f>AVERAGE(K19:K214)</f>
        <v>519.24489795918362</v>
      </c>
      <c r="L4" s="31" t="s">
        <v>79</v>
      </c>
      <c r="M4" s="75">
        <f t="shared" ref="M4" si="0">AVERAGE(M19:M214)</f>
        <v>139.43333333333334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64"/>
      <c r="AL4" s="64"/>
      <c r="AM4" s="64"/>
      <c r="AN4" s="64"/>
      <c r="AO4" s="64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</row>
    <row r="5" spans="1:72" x14ac:dyDescent="0.2">
      <c r="A5" s="59">
        <v>2</v>
      </c>
      <c r="B5" s="44">
        <v>4</v>
      </c>
      <c r="C5" s="59"/>
      <c r="D5" s="46"/>
      <c r="E5" s="46"/>
      <c r="F5" s="46"/>
      <c r="G5" s="66" t="s">
        <v>88</v>
      </c>
      <c r="H5" s="80">
        <f>AVERAGEIF(H19:H214,"&gt;0")</f>
        <v>132.91970802919707</v>
      </c>
      <c r="I5" s="75">
        <f>AVERAGEIF(I19:I214,"&gt;0")</f>
        <v>132.24460431654677</v>
      </c>
      <c r="J5" s="31" t="s">
        <v>81</v>
      </c>
      <c r="K5" s="75">
        <f>MIN(K19:K214)</f>
        <v>37</v>
      </c>
      <c r="L5" s="31" t="s">
        <v>81</v>
      </c>
      <c r="M5" s="75">
        <f t="shared" ref="M5" si="1">MIN(M19:M214)</f>
        <v>15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64"/>
      <c r="AL5" s="64"/>
      <c r="AM5" s="64"/>
      <c r="AN5" s="64"/>
      <c r="AO5" s="64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</row>
    <row r="6" spans="1:72" x14ac:dyDescent="0.2">
      <c r="A6" s="59">
        <v>3</v>
      </c>
      <c r="B6" s="44">
        <v>4</v>
      </c>
      <c r="C6" s="59"/>
      <c r="D6" s="46"/>
      <c r="E6" s="46"/>
      <c r="F6" s="46"/>
      <c r="G6" s="66" t="s">
        <v>89</v>
      </c>
      <c r="H6" s="80">
        <f>AVERAGEIF(L19:L214,1,H19:H214)</f>
        <v>86.941176470588232</v>
      </c>
      <c r="I6" s="76"/>
      <c r="J6" s="31" t="s">
        <v>82</v>
      </c>
      <c r="K6" s="115">
        <f>MAX(K19:K214)</f>
        <v>1204</v>
      </c>
      <c r="L6" s="31" t="s">
        <v>82</v>
      </c>
      <c r="M6" s="75">
        <f t="shared" ref="M6" si="2">MAX(M19:M214)</f>
        <v>161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64"/>
      <c r="AL6" s="64"/>
      <c r="AM6" s="64"/>
      <c r="AN6" s="64"/>
      <c r="AO6" s="64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</row>
    <row r="7" spans="1:72" x14ac:dyDescent="0.2">
      <c r="A7" s="59">
        <v>4</v>
      </c>
      <c r="B7" s="44">
        <v>4</v>
      </c>
      <c r="C7" s="59"/>
      <c r="D7" s="46"/>
      <c r="E7" s="46"/>
      <c r="F7" s="46"/>
      <c r="G7" s="66" t="s">
        <v>90</v>
      </c>
      <c r="H7" s="80">
        <f>AVERAGEIFS(H19:H214,H19:H214,"&gt;0",L19:L214,0)</f>
        <v>139.43333333333334</v>
      </c>
      <c r="I7" s="76"/>
      <c r="J7" s="31" t="s">
        <v>83</v>
      </c>
      <c r="K7" s="75">
        <f>_xlfn.STDEV.P(K19:K214)</f>
        <v>324.50214807705396</v>
      </c>
      <c r="L7" s="31" t="s">
        <v>83</v>
      </c>
      <c r="M7" s="75">
        <f t="shared" ref="M7" si="3">_xlfn.STDEV.P(M19:M214)</f>
        <v>21.027653749817695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64"/>
      <c r="AL7" s="64"/>
      <c r="AM7" s="64"/>
      <c r="AN7" s="64"/>
      <c r="AO7" s="64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</row>
    <row r="8" spans="1:72" x14ac:dyDescent="0.2">
      <c r="A8" s="59">
        <v>5</v>
      </c>
      <c r="B8" s="44">
        <v>5</v>
      </c>
      <c r="C8" s="59"/>
      <c r="D8" s="46"/>
      <c r="E8" s="46"/>
      <c r="F8" s="31"/>
      <c r="G8" s="31" t="s">
        <v>104</v>
      </c>
      <c r="H8" s="80">
        <f>_xlfn.STDEV.P(H19:H214)</f>
        <v>65.257431625376526</v>
      </c>
      <c r="I8" s="31"/>
      <c r="J8" s="31" t="s">
        <v>84</v>
      </c>
      <c r="K8" s="75">
        <f>K6-K5</f>
        <v>1167</v>
      </c>
      <c r="L8" s="31" t="s">
        <v>84</v>
      </c>
      <c r="M8" s="75">
        <f t="shared" ref="M8" si="4">M6-M5</f>
        <v>146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64"/>
      <c r="AL8" s="64"/>
      <c r="AM8" s="64"/>
      <c r="AN8" s="64"/>
      <c r="AO8" s="64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</row>
    <row r="9" spans="1:72" x14ac:dyDescent="0.2">
      <c r="A9" s="59">
        <v>6</v>
      </c>
      <c r="B9" s="44">
        <v>5</v>
      </c>
      <c r="C9" s="59"/>
      <c r="D9" s="46"/>
      <c r="E9" s="46"/>
      <c r="F9" s="46"/>
      <c r="G9" s="46"/>
      <c r="H9" s="31"/>
      <c r="I9" s="31"/>
      <c r="J9" s="31" t="s">
        <v>85</v>
      </c>
      <c r="K9" s="75">
        <f>K214</f>
        <v>172</v>
      </c>
      <c r="L9" s="31" t="s">
        <v>85</v>
      </c>
      <c r="M9" s="75" t="str">
        <f t="shared" ref="M9" si="5">M214</f>
        <v/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64"/>
      <c r="AL9" s="64"/>
      <c r="AM9" s="64"/>
      <c r="AN9" s="64"/>
      <c r="AO9" s="64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</row>
    <row r="10" spans="1:72" x14ac:dyDescent="0.2">
      <c r="A10" s="59">
        <v>7</v>
      </c>
      <c r="B10" s="44">
        <v>5</v>
      </c>
      <c r="C10" s="59"/>
      <c r="D10" s="46"/>
      <c r="E10" s="31"/>
      <c r="F10" s="31"/>
      <c r="G10" s="31"/>
      <c r="H10" s="31"/>
      <c r="I10" s="31"/>
      <c r="J10" s="65" t="s">
        <v>86</v>
      </c>
      <c r="K10" s="55">
        <f>SUM(L20:L214)</f>
        <v>17</v>
      </c>
      <c r="L10" s="65" t="s">
        <v>86</v>
      </c>
      <c r="M10" s="55">
        <f t="shared" ref="M10" si="6">SUM(N20:N214)</f>
        <v>27</v>
      </c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64"/>
      <c r="AL10" s="64"/>
      <c r="AM10" s="64"/>
      <c r="AN10" s="64"/>
      <c r="AO10" s="64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</row>
    <row r="11" spans="1:72" x14ac:dyDescent="0.2">
      <c r="A11" s="59">
        <v>8</v>
      </c>
      <c r="B11" s="62">
        <v>5</v>
      </c>
      <c r="C11" s="59"/>
      <c r="D11" s="46"/>
      <c r="E11" s="31"/>
      <c r="F11" s="31"/>
      <c r="G11" s="31"/>
      <c r="H11" s="31"/>
      <c r="I11" s="31"/>
      <c r="J11" s="31"/>
      <c r="K11" s="55">
        <f>INDEX(B19:B214,MATCH(K5,K19:K214,0))</f>
        <v>4</v>
      </c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64"/>
      <c r="AL11" s="64"/>
      <c r="AM11" s="64"/>
      <c r="AN11" s="64"/>
      <c r="AO11" s="64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</row>
    <row r="12" spans="1:72" x14ac:dyDescent="0.2">
      <c r="A12" s="59">
        <v>9</v>
      </c>
      <c r="B12" s="62">
        <v>5</v>
      </c>
      <c r="C12" s="59"/>
      <c r="D12" s="46"/>
      <c r="E12" s="31"/>
      <c r="F12" s="31"/>
      <c r="G12" s="31"/>
      <c r="H12" s="31"/>
      <c r="I12" s="31"/>
      <c r="J12" s="31"/>
      <c r="K12" s="55">
        <f>INDEX(C19:C214,MATCH(K5,K19:K214,0))</f>
        <v>1</v>
      </c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64"/>
      <c r="AL12" s="64"/>
      <c r="AM12" s="64"/>
      <c r="AN12" s="64"/>
      <c r="AO12" s="64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</row>
    <row r="13" spans="1:72" x14ac:dyDescent="0.2">
      <c r="A13" s="59">
        <v>10</v>
      </c>
      <c r="B13" s="62">
        <v>5</v>
      </c>
      <c r="C13" s="59"/>
      <c r="D13" s="46"/>
      <c r="E13" s="31"/>
      <c r="F13" s="31"/>
      <c r="G13" s="31"/>
      <c r="H13" s="31"/>
      <c r="I13" s="31"/>
      <c r="J13" s="65" t="s">
        <v>127</v>
      </c>
      <c r="K13" s="55">
        <f>INDEX(B19:B215,MATCH(K6,K19:K215,0))</f>
        <v>156</v>
      </c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64"/>
      <c r="AL13" s="64"/>
      <c r="AM13" s="64"/>
      <c r="AN13" s="64"/>
      <c r="AO13" s="64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</row>
    <row r="14" spans="1:72" x14ac:dyDescent="0.2">
      <c r="A14" s="59">
        <v>11</v>
      </c>
      <c r="B14" s="62">
        <v>5</v>
      </c>
      <c r="C14" s="59"/>
      <c r="D14" s="46"/>
      <c r="E14" s="31"/>
      <c r="F14" s="31"/>
      <c r="G14" s="31"/>
      <c r="H14" s="31"/>
      <c r="I14" s="31"/>
      <c r="J14" s="65" t="s">
        <v>128</v>
      </c>
      <c r="K14" s="55">
        <f>INDEX(C19:C215,MATCH(K6,K19:K215,0))</f>
        <v>12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64"/>
      <c r="AL14" s="64"/>
      <c r="AM14" s="64"/>
      <c r="AN14" s="64"/>
      <c r="AO14" s="64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</row>
    <row r="15" spans="1:72" x14ac:dyDescent="0.2">
      <c r="A15" s="59">
        <v>12</v>
      </c>
      <c r="B15" s="62">
        <v>6</v>
      </c>
      <c r="C15" s="59"/>
      <c r="D15" s="46"/>
      <c r="E15" s="31"/>
      <c r="F15" s="31"/>
      <c r="G15" s="31"/>
      <c r="H15" s="31"/>
      <c r="I15" s="31"/>
      <c r="J15" s="65" t="s">
        <v>137</v>
      </c>
      <c r="K15" s="55">
        <f>INDEX(E19:E214,MATCH(K13,B19:B214))</f>
        <v>2</v>
      </c>
      <c r="L15" s="31" t="str" cm="1">
        <f t="array" ref="L15">INDEX(O19:O25,K15)</f>
        <v>Tuesday</v>
      </c>
      <c r="M15" s="31"/>
      <c r="N15" s="31"/>
      <c r="O15" s="31"/>
      <c r="P15" s="31" t="s">
        <v>125</v>
      </c>
      <c r="Q15" s="31"/>
      <c r="R15" s="31"/>
      <c r="S15" s="31"/>
      <c r="T15" s="31"/>
      <c r="U15" s="31"/>
      <c r="V15" s="31"/>
      <c r="W15" s="31" t="s">
        <v>123</v>
      </c>
      <c r="X15" s="31"/>
      <c r="Y15" s="31"/>
      <c r="Z15" s="31"/>
      <c r="AA15" s="31"/>
      <c r="AB15" s="31"/>
      <c r="AC15" s="31"/>
      <c r="AD15" s="31"/>
      <c r="AE15" s="31"/>
      <c r="AF15" s="31" t="s">
        <v>126</v>
      </c>
      <c r="AG15" s="31"/>
      <c r="AH15" s="31"/>
      <c r="AI15" s="31"/>
      <c r="AJ15" s="31"/>
      <c r="AK15" s="64"/>
      <c r="AL15" s="64"/>
      <c r="AM15" s="64"/>
      <c r="AN15" s="64"/>
      <c r="AO15" s="64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</row>
    <row r="16" spans="1:72" x14ac:dyDescent="0.2">
      <c r="A16" s="59">
        <v>13</v>
      </c>
      <c r="B16" s="62">
        <v>6</v>
      </c>
      <c r="C16" s="59"/>
      <c r="D16" s="46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64"/>
      <c r="AL16" s="64"/>
      <c r="AM16" s="64"/>
      <c r="AN16" s="64"/>
      <c r="AO16" s="64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</row>
    <row r="17" spans="1:72" x14ac:dyDescent="0.2">
      <c r="A17" s="59">
        <v>14</v>
      </c>
      <c r="B17" s="63">
        <v>6</v>
      </c>
      <c r="C17" s="59"/>
      <c r="D17" s="46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59"/>
      <c r="BN17" s="59"/>
      <c r="BO17" s="59"/>
      <c r="BP17" s="59"/>
      <c r="BQ17" s="59"/>
      <c r="BR17" s="59"/>
      <c r="BS17" s="59"/>
      <c r="BT17" s="59"/>
    </row>
    <row r="18" spans="1:72" ht="94.5" customHeight="1" x14ac:dyDescent="0.25">
      <c r="A18" s="33"/>
      <c r="B18" s="73" t="s">
        <v>91</v>
      </c>
      <c r="C18" s="34" t="s">
        <v>70</v>
      </c>
      <c r="D18" s="34" t="s">
        <v>71</v>
      </c>
      <c r="E18" s="49" t="s">
        <v>72</v>
      </c>
      <c r="F18" s="47" t="s">
        <v>55</v>
      </c>
      <c r="G18" s="47" t="s">
        <v>73</v>
      </c>
      <c r="H18" s="34" t="s">
        <v>180</v>
      </c>
      <c r="I18" s="34" t="s">
        <v>181</v>
      </c>
      <c r="J18" s="34" t="s">
        <v>56</v>
      </c>
      <c r="K18" s="34" t="s">
        <v>54</v>
      </c>
      <c r="L18" s="34" t="s">
        <v>57</v>
      </c>
      <c r="M18" s="48" t="s">
        <v>58</v>
      </c>
      <c r="N18" s="33" t="s">
        <v>72</v>
      </c>
      <c r="O18" s="105"/>
      <c r="P18" s="106" t="s">
        <v>108</v>
      </c>
      <c r="Q18" s="107" t="s">
        <v>60</v>
      </c>
      <c r="R18" s="108" t="s">
        <v>122</v>
      </c>
      <c r="S18" s="105"/>
      <c r="T18" s="33"/>
      <c r="U18" s="33"/>
      <c r="V18" s="33"/>
      <c r="W18" s="106" t="s">
        <v>108</v>
      </c>
      <c r="X18" s="107" t="s">
        <v>60</v>
      </c>
      <c r="Y18" s="102" t="s">
        <v>122</v>
      </c>
      <c r="Z18" s="41"/>
      <c r="AA18" s="33"/>
      <c r="AB18" s="33"/>
      <c r="AC18" s="33"/>
      <c r="AD18" s="33"/>
      <c r="AE18" s="33"/>
      <c r="AF18" s="106" t="s">
        <v>108</v>
      </c>
      <c r="AG18" s="107" t="s">
        <v>60</v>
      </c>
      <c r="AH18" s="102" t="s">
        <v>122</v>
      </c>
      <c r="AI18" s="33"/>
      <c r="AJ18" s="33"/>
      <c r="AK18" s="105"/>
      <c r="AL18" s="105"/>
      <c r="AM18" s="105"/>
      <c r="AN18" s="105"/>
      <c r="AO18" s="106" t="s">
        <v>108</v>
      </c>
      <c r="AP18" s="107" t="s">
        <v>60</v>
      </c>
      <c r="AQ18" s="102" t="s">
        <v>122</v>
      </c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59"/>
      <c r="BN18" s="59"/>
      <c r="BO18" s="59"/>
      <c r="BP18" s="59"/>
      <c r="BQ18" s="59"/>
      <c r="BR18" s="59"/>
      <c r="BS18" s="59"/>
      <c r="BT18" s="59"/>
    </row>
    <row r="19" spans="1:72" x14ac:dyDescent="0.2">
      <c r="A19" s="31" t="s">
        <v>100</v>
      </c>
      <c r="B19" s="67">
        <v>1</v>
      </c>
      <c r="C19" s="50">
        <v>1</v>
      </c>
      <c r="D19" s="35">
        <v>1</v>
      </c>
      <c r="E19" s="35">
        <v>1</v>
      </c>
      <c r="F19" s="35">
        <f>IF(I19&gt;0,1,0)</f>
        <v>1</v>
      </c>
      <c r="G19" s="35" cm="1">
        <f t="array" ref="G19">IF(E19&lt;=INDEX($B$4:$B$17,C19),1,0)</f>
        <v>1</v>
      </c>
      <c r="H19" s="35">
        <v>0</v>
      </c>
      <c r="I19" s="36">
        <v>47</v>
      </c>
      <c r="J19" s="55">
        <v>0</v>
      </c>
      <c r="K19" s="55">
        <f>J19+I19-H19</f>
        <v>47</v>
      </c>
      <c r="L19" s="55"/>
      <c r="M19" s="53"/>
      <c r="N19" s="31">
        <v>1</v>
      </c>
      <c r="O19" s="31" t="s">
        <v>130</v>
      </c>
      <c r="P19" s="51" t="str">
        <f>"&lt;="&amp;Q19</f>
        <v>&lt;=100</v>
      </c>
      <c r="Q19" s="55">
        <v>100</v>
      </c>
      <c r="R19" s="56" cm="1">
        <f t="array" ref="R19:R27">FREQUENCY(M19:M213,Q19:Q26)</f>
        <v>6</v>
      </c>
      <c r="S19" s="31"/>
      <c r="T19" s="31"/>
      <c r="U19" s="31"/>
      <c r="V19" s="31"/>
      <c r="W19" s="51" t="str">
        <f>"="&amp;X19</f>
        <v>=0</v>
      </c>
      <c r="X19" s="55">
        <v>0</v>
      </c>
      <c r="Y19" s="56" cm="1">
        <f t="array" ref="Y19:Y28">FREQUENCY(H19:H214,X19:X28)</f>
        <v>59</v>
      </c>
      <c r="Z19" s="31"/>
      <c r="AA19" s="31"/>
      <c r="AB19" s="31"/>
      <c r="AC19" s="110"/>
      <c r="AD19" s="111"/>
      <c r="AE19" s="111"/>
      <c r="AF19" s="51" t="str">
        <f>"="&amp;AG19</f>
        <v>=0</v>
      </c>
      <c r="AG19" s="55">
        <v>0</v>
      </c>
      <c r="AH19" s="56" cm="1">
        <f t="array" ref="AH19:AH28">FREQUENCY(I19:I214,AG19:AG28)</f>
        <v>57</v>
      </c>
      <c r="AI19" s="111"/>
      <c r="AJ19" s="111"/>
      <c r="AK19" s="111"/>
      <c r="AL19" s="111"/>
      <c r="AM19" s="111"/>
      <c r="AN19" s="111"/>
      <c r="AO19" s="51" t="str">
        <f>"="&amp;AP19</f>
        <v>=0</v>
      </c>
      <c r="AP19" s="55">
        <v>0</v>
      </c>
      <c r="AQ19" s="56" cm="1">
        <f t="array" ref="AQ19:AQ28">FREQUENCY(R19:R214,AP19:AP28)</f>
        <v>2</v>
      </c>
      <c r="AR19" s="59"/>
      <c r="AS19" s="59"/>
      <c r="AT19" s="59"/>
      <c r="AU19" s="59"/>
      <c r="AV19" s="59"/>
      <c r="AW19" s="59"/>
    </row>
    <row r="20" spans="1:72" x14ac:dyDescent="0.2">
      <c r="A20" s="31"/>
      <c r="B20" s="70">
        <v>2</v>
      </c>
      <c r="C20" s="51">
        <v>1</v>
      </c>
      <c r="D20" s="37">
        <v>2</v>
      </c>
      <c r="E20" s="37">
        <v>2</v>
      </c>
      <c r="F20" s="37">
        <f t="shared" ref="F20:F83" si="7">IF(I20&gt;0,1,0)</f>
        <v>1</v>
      </c>
      <c r="G20" s="37" cm="1">
        <f t="array" ref="G20">IF(E20&lt;=INDEX($B$4:$B$17,C20),1,0)</f>
        <v>1</v>
      </c>
      <c r="H20" s="37">
        <v>47</v>
      </c>
      <c r="I20" s="38">
        <v>64</v>
      </c>
      <c r="J20" s="55">
        <f>K19</f>
        <v>47</v>
      </c>
      <c r="K20" s="55">
        <f t="shared" ref="K20:K83" si="8">J20+I20-H20</f>
        <v>64</v>
      </c>
      <c r="L20" s="55">
        <f>IF(AND(H20=J20,G20),1,0)</f>
        <v>1</v>
      </c>
      <c r="M20" s="55" t="str">
        <f>IF(OR(G20=0,L20=1),"",H20)</f>
        <v/>
      </c>
      <c r="N20" s="31">
        <v>2</v>
      </c>
      <c r="O20" s="31" t="s">
        <v>131</v>
      </c>
      <c r="P20" s="51" t="str">
        <f>Q19+1&amp;"-"&amp;Q20</f>
        <v>101-110</v>
      </c>
      <c r="Q20" s="55">
        <v>110</v>
      </c>
      <c r="R20" s="56">
        <v>0</v>
      </c>
      <c r="S20" s="31"/>
      <c r="T20" s="31"/>
      <c r="U20" s="31"/>
      <c r="V20" s="31"/>
      <c r="W20" s="51" t="str">
        <f>X19+1&amp;"-"&amp;X20</f>
        <v>1-20</v>
      </c>
      <c r="X20" s="55">
        <v>20</v>
      </c>
      <c r="Y20" s="56">
        <v>1</v>
      </c>
      <c r="Z20" s="31"/>
      <c r="AA20" s="31"/>
      <c r="AB20" s="31"/>
      <c r="AC20" s="110"/>
      <c r="AD20" s="111"/>
      <c r="AE20" s="111"/>
      <c r="AF20" s="51" t="str">
        <f>AG19+1&amp;"-"&amp;AG20</f>
        <v>1-25</v>
      </c>
      <c r="AG20" s="55">
        <v>25</v>
      </c>
      <c r="AH20" s="56">
        <v>1</v>
      </c>
      <c r="AI20" s="111"/>
      <c r="AJ20" s="111"/>
      <c r="AK20" s="111"/>
      <c r="AL20" s="111"/>
      <c r="AM20" s="111"/>
      <c r="AN20" s="111"/>
      <c r="AO20" s="51" t="str">
        <f>AP19+1&amp;"-"&amp;AP20</f>
        <v>1-25</v>
      </c>
      <c r="AP20" s="55">
        <v>25</v>
      </c>
      <c r="AQ20" s="56">
        <v>5</v>
      </c>
      <c r="AR20" s="59"/>
      <c r="AS20" s="59"/>
      <c r="AT20" s="59"/>
      <c r="AU20" s="59"/>
      <c r="AV20" s="59"/>
      <c r="AW20" s="59"/>
    </row>
    <row r="21" spans="1:72" x14ac:dyDescent="0.2">
      <c r="A21" s="31"/>
      <c r="B21" s="67">
        <v>3</v>
      </c>
      <c r="C21" s="51">
        <v>1</v>
      </c>
      <c r="D21" s="37">
        <v>3</v>
      </c>
      <c r="E21" s="37">
        <v>3</v>
      </c>
      <c r="F21" s="37">
        <f t="shared" si="7"/>
        <v>1</v>
      </c>
      <c r="G21" s="37" cm="1">
        <f t="array" ref="G21">IF(E21&lt;=INDEX($B$4:$B$17,C21),1,0)</f>
        <v>1</v>
      </c>
      <c r="H21" s="37">
        <v>64</v>
      </c>
      <c r="I21" s="38">
        <v>49</v>
      </c>
      <c r="J21" s="55">
        <f t="shared" ref="J21:J84" si="9">K20</f>
        <v>64</v>
      </c>
      <c r="K21" s="55">
        <f t="shared" si="8"/>
        <v>49</v>
      </c>
      <c r="L21" s="55">
        <f t="shared" ref="L21:L84" si="10">IF(AND(H21=J21,G21),1,0)</f>
        <v>1</v>
      </c>
      <c r="M21" s="55" t="str">
        <f t="shared" ref="M21:M84" si="11">IF(OR(G21=0,L21=1),"",H21)</f>
        <v/>
      </c>
      <c r="N21" s="31">
        <v>3</v>
      </c>
      <c r="O21" s="31" t="s">
        <v>132</v>
      </c>
      <c r="P21" s="51" t="str">
        <f t="shared" ref="P21:P26" si="12">Q20+1&amp;"-"&amp;Q21</f>
        <v>111-120</v>
      </c>
      <c r="Q21" s="55">
        <v>120</v>
      </c>
      <c r="R21" s="56">
        <v>1</v>
      </c>
      <c r="S21" s="31"/>
      <c r="T21" s="31"/>
      <c r="U21" s="31"/>
      <c r="V21" s="31"/>
      <c r="W21" s="51" t="str">
        <f t="shared" ref="W21:W27" si="13">X20+1&amp;"-"&amp;X21</f>
        <v>21-40</v>
      </c>
      <c r="X21" s="55">
        <v>40</v>
      </c>
      <c r="Y21" s="56">
        <v>1</v>
      </c>
      <c r="Z21" s="31"/>
      <c r="AA21" s="31"/>
      <c r="AB21" s="31"/>
      <c r="AC21" s="110"/>
      <c r="AD21" s="111"/>
      <c r="AE21" s="111"/>
      <c r="AF21" s="51" t="str">
        <f t="shared" ref="AF21:AF27" si="14">AG20+1&amp;"-"&amp;AG21</f>
        <v>26-50</v>
      </c>
      <c r="AG21" s="55">
        <v>50</v>
      </c>
      <c r="AH21" s="56">
        <v>6</v>
      </c>
      <c r="AI21" s="111"/>
      <c r="AJ21" s="111"/>
      <c r="AK21" s="111"/>
      <c r="AL21" s="111"/>
      <c r="AM21" s="111"/>
      <c r="AN21" s="111"/>
      <c r="AO21" s="51" t="str">
        <f t="shared" ref="AO21:AO27" si="15">AP20+1&amp;"-"&amp;AP21</f>
        <v>26-50</v>
      </c>
      <c r="AP21" s="55">
        <v>50</v>
      </c>
      <c r="AQ21" s="56">
        <v>2</v>
      </c>
      <c r="AR21" s="59"/>
      <c r="AS21" s="59"/>
      <c r="AT21" s="59"/>
      <c r="AU21" s="59"/>
      <c r="AV21" s="59"/>
      <c r="AW21" s="59"/>
    </row>
    <row r="22" spans="1:72" x14ac:dyDescent="0.2">
      <c r="A22" s="31"/>
      <c r="B22" s="70">
        <v>4</v>
      </c>
      <c r="C22" s="51">
        <v>1</v>
      </c>
      <c r="D22" s="37">
        <v>4</v>
      </c>
      <c r="E22" s="37">
        <v>4</v>
      </c>
      <c r="F22" s="37">
        <f t="shared" si="7"/>
        <v>1</v>
      </c>
      <c r="G22" s="37" cm="1">
        <f t="array" ref="G22">IF(E22&lt;=INDEX($B$4:$B$17,C22),1,0)</f>
        <v>1</v>
      </c>
      <c r="H22" s="37">
        <v>49</v>
      </c>
      <c r="I22" s="38">
        <v>37</v>
      </c>
      <c r="J22" s="55">
        <f t="shared" si="9"/>
        <v>49</v>
      </c>
      <c r="K22" s="55">
        <f t="shared" si="8"/>
        <v>37</v>
      </c>
      <c r="L22" s="55">
        <f t="shared" si="10"/>
        <v>1</v>
      </c>
      <c r="M22" s="55" t="str">
        <f t="shared" si="11"/>
        <v/>
      </c>
      <c r="N22" s="31">
        <v>4</v>
      </c>
      <c r="O22" s="31" t="s">
        <v>133</v>
      </c>
      <c r="P22" s="51" t="str">
        <f t="shared" si="12"/>
        <v>121-130</v>
      </c>
      <c r="Q22" s="55">
        <v>130</v>
      </c>
      <c r="R22" s="56">
        <v>9</v>
      </c>
      <c r="S22" s="31"/>
      <c r="T22" s="31"/>
      <c r="U22" s="31"/>
      <c r="V22" s="31"/>
      <c r="W22" s="51" t="str">
        <f t="shared" si="13"/>
        <v>41-60</v>
      </c>
      <c r="X22" s="55">
        <v>60</v>
      </c>
      <c r="Y22" s="56">
        <v>4</v>
      </c>
      <c r="Z22" s="31"/>
      <c r="AA22" s="31"/>
      <c r="AB22" s="31"/>
      <c r="AC22" s="110"/>
      <c r="AD22" s="111"/>
      <c r="AE22" s="111"/>
      <c r="AF22" s="51" t="str">
        <f t="shared" si="14"/>
        <v>51-75</v>
      </c>
      <c r="AG22" s="55">
        <v>75</v>
      </c>
      <c r="AH22" s="56">
        <v>4</v>
      </c>
      <c r="AI22" s="111"/>
      <c r="AJ22" s="111"/>
      <c r="AK22" s="111"/>
      <c r="AL22" s="111"/>
      <c r="AM22" s="111"/>
      <c r="AN22" s="111"/>
      <c r="AO22" s="51" t="str">
        <f t="shared" si="15"/>
        <v>51-75</v>
      </c>
      <c r="AP22" s="55">
        <v>75</v>
      </c>
      <c r="AQ22" s="56">
        <v>0</v>
      </c>
      <c r="AR22" s="59"/>
      <c r="AS22" s="59"/>
      <c r="AT22" s="59"/>
      <c r="AU22" s="59"/>
      <c r="AV22" s="59"/>
      <c r="AW22" s="59"/>
    </row>
    <row r="23" spans="1:72" x14ac:dyDescent="0.2">
      <c r="A23" s="31"/>
      <c r="B23" s="67">
        <v>5</v>
      </c>
      <c r="C23" s="51">
        <v>1</v>
      </c>
      <c r="D23" s="37">
        <v>5</v>
      </c>
      <c r="E23" s="37">
        <v>5</v>
      </c>
      <c r="F23" s="37">
        <f t="shared" si="7"/>
        <v>1</v>
      </c>
      <c r="G23" s="37" cm="1">
        <f t="array" ref="G23">IF(E23&lt;=INDEX($B$4:$B$17,C23),1,0)</f>
        <v>0</v>
      </c>
      <c r="H23" s="37">
        <v>0</v>
      </c>
      <c r="I23" s="38">
        <v>81</v>
      </c>
      <c r="J23" s="55">
        <f t="shared" si="9"/>
        <v>37</v>
      </c>
      <c r="K23" s="55">
        <f t="shared" si="8"/>
        <v>118</v>
      </c>
      <c r="L23" s="55">
        <f t="shared" si="10"/>
        <v>0</v>
      </c>
      <c r="M23" s="55" t="str">
        <f t="shared" si="11"/>
        <v/>
      </c>
      <c r="N23" s="31">
        <v>5</v>
      </c>
      <c r="O23" s="31" t="s">
        <v>134</v>
      </c>
      <c r="P23" s="51" t="str">
        <f t="shared" si="12"/>
        <v>131-140</v>
      </c>
      <c r="Q23" s="55">
        <v>140</v>
      </c>
      <c r="R23" s="56">
        <v>35</v>
      </c>
      <c r="S23" s="31"/>
      <c r="T23" s="31"/>
      <c r="U23" s="31"/>
      <c r="V23" s="31"/>
      <c r="W23" s="51" t="str">
        <f t="shared" si="13"/>
        <v>61-80</v>
      </c>
      <c r="X23" s="55">
        <v>80</v>
      </c>
      <c r="Y23" s="56">
        <v>4</v>
      </c>
      <c r="Z23" s="31"/>
      <c r="AA23" s="31"/>
      <c r="AB23" s="31"/>
      <c r="AC23" s="110"/>
      <c r="AD23" s="111"/>
      <c r="AE23" s="111"/>
      <c r="AF23" s="51" t="str">
        <f t="shared" si="14"/>
        <v>76-100</v>
      </c>
      <c r="AG23" s="55">
        <v>100</v>
      </c>
      <c r="AH23" s="56">
        <v>20</v>
      </c>
      <c r="AI23" s="111"/>
      <c r="AJ23" s="111"/>
      <c r="AK23" s="111"/>
      <c r="AL23" s="111"/>
      <c r="AM23" s="111"/>
      <c r="AN23" s="111"/>
      <c r="AO23" s="51" t="str">
        <f t="shared" si="15"/>
        <v>76-100</v>
      </c>
      <c r="AP23" s="55">
        <v>100</v>
      </c>
      <c r="AQ23" s="56">
        <v>0</v>
      </c>
      <c r="AR23" s="59"/>
      <c r="AS23" s="59"/>
      <c r="AT23" s="59"/>
      <c r="AU23" s="59"/>
      <c r="AV23" s="59"/>
      <c r="AW23" s="59"/>
    </row>
    <row r="24" spans="1:72" x14ac:dyDescent="0.2">
      <c r="A24" s="31"/>
      <c r="B24" s="70">
        <v>6</v>
      </c>
      <c r="C24" s="51">
        <v>1</v>
      </c>
      <c r="D24" s="37">
        <v>6</v>
      </c>
      <c r="E24" s="37">
        <v>6</v>
      </c>
      <c r="F24" s="37">
        <f t="shared" si="7"/>
        <v>0</v>
      </c>
      <c r="G24" s="37" cm="1">
        <f t="array" ref="G24">IF(E24&lt;=INDEX($B$4:$B$17,C24),1,0)</f>
        <v>0</v>
      </c>
      <c r="H24" s="37">
        <v>0</v>
      </c>
      <c r="I24" s="38">
        <v>0</v>
      </c>
      <c r="J24" s="55">
        <f t="shared" si="9"/>
        <v>118</v>
      </c>
      <c r="K24" s="55">
        <f t="shared" si="8"/>
        <v>118</v>
      </c>
      <c r="L24" s="55">
        <f t="shared" si="10"/>
        <v>0</v>
      </c>
      <c r="M24" s="55" t="str">
        <f t="shared" si="11"/>
        <v/>
      </c>
      <c r="N24" s="31">
        <v>6</v>
      </c>
      <c r="O24" s="31" t="s">
        <v>135</v>
      </c>
      <c r="P24" s="51" t="str">
        <f t="shared" si="12"/>
        <v>141-150</v>
      </c>
      <c r="Q24" s="55">
        <v>150</v>
      </c>
      <c r="R24" s="56">
        <v>41</v>
      </c>
      <c r="S24" s="31"/>
      <c r="T24" s="31"/>
      <c r="U24" s="31"/>
      <c r="V24" s="31"/>
      <c r="W24" s="51" t="str">
        <f t="shared" si="13"/>
        <v>81-100</v>
      </c>
      <c r="X24" s="55">
        <v>100</v>
      </c>
      <c r="Y24" s="56">
        <v>8</v>
      </c>
      <c r="Z24" s="31"/>
      <c r="AA24" s="31"/>
      <c r="AB24" s="31"/>
      <c r="AC24" s="110"/>
      <c r="AD24" s="111"/>
      <c r="AE24" s="111"/>
      <c r="AF24" s="51" t="str">
        <f t="shared" si="14"/>
        <v>101-125</v>
      </c>
      <c r="AG24" s="55">
        <v>125</v>
      </c>
      <c r="AH24" s="56">
        <v>18</v>
      </c>
      <c r="AI24" s="111"/>
      <c r="AJ24" s="111"/>
      <c r="AK24" s="111"/>
      <c r="AL24" s="111"/>
      <c r="AM24" s="111"/>
      <c r="AN24" s="111"/>
      <c r="AO24" s="51" t="str">
        <f t="shared" si="15"/>
        <v>101-125</v>
      </c>
      <c r="AP24" s="55">
        <v>125</v>
      </c>
      <c r="AQ24" s="56">
        <v>0</v>
      </c>
      <c r="AR24" s="59"/>
      <c r="AS24" s="59"/>
      <c r="AT24" s="59"/>
      <c r="AU24" s="59"/>
      <c r="AV24" s="59"/>
      <c r="AW24" s="59"/>
    </row>
    <row r="25" spans="1:72" x14ac:dyDescent="0.2">
      <c r="A25" s="31"/>
      <c r="B25" s="67">
        <v>7</v>
      </c>
      <c r="C25" s="51">
        <v>1</v>
      </c>
      <c r="D25" s="37">
        <v>7</v>
      </c>
      <c r="E25" s="37">
        <v>7</v>
      </c>
      <c r="F25" s="37">
        <f t="shared" si="7"/>
        <v>0</v>
      </c>
      <c r="G25" s="37" cm="1">
        <f t="array" ref="G25">IF(E25&lt;=INDEX($B$4:$B$17,C25),1,0)</f>
        <v>0</v>
      </c>
      <c r="H25" s="37">
        <v>0</v>
      </c>
      <c r="I25" s="38">
        <v>0</v>
      </c>
      <c r="J25" s="55">
        <f t="shared" si="9"/>
        <v>118</v>
      </c>
      <c r="K25" s="55">
        <f t="shared" si="8"/>
        <v>118</v>
      </c>
      <c r="L25" s="55">
        <f t="shared" si="10"/>
        <v>0</v>
      </c>
      <c r="M25" s="55" t="str">
        <f t="shared" si="11"/>
        <v/>
      </c>
      <c r="N25" s="31">
        <v>7</v>
      </c>
      <c r="O25" s="31" t="s">
        <v>136</v>
      </c>
      <c r="P25" s="51" t="str">
        <f t="shared" si="12"/>
        <v>151-160</v>
      </c>
      <c r="Q25" s="55">
        <v>160</v>
      </c>
      <c r="R25" s="56">
        <v>23</v>
      </c>
      <c r="S25" s="31"/>
      <c r="T25" s="31"/>
      <c r="U25" s="31"/>
      <c r="V25" s="31"/>
      <c r="W25" s="51" t="str">
        <f t="shared" si="13"/>
        <v>101-120</v>
      </c>
      <c r="X25" s="55">
        <v>120</v>
      </c>
      <c r="Y25" s="56">
        <v>5</v>
      </c>
      <c r="Z25" s="31"/>
      <c r="AA25" s="31"/>
      <c r="AB25" s="31"/>
      <c r="AC25" s="110"/>
      <c r="AD25" s="111"/>
      <c r="AE25" s="111"/>
      <c r="AF25" s="51" t="str">
        <f t="shared" si="14"/>
        <v>126-150</v>
      </c>
      <c r="AG25" s="55">
        <v>150</v>
      </c>
      <c r="AH25" s="56">
        <v>44</v>
      </c>
      <c r="AI25" s="111"/>
      <c r="AJ25" s="111"/>
      <c r="AK25" s="111"/>
      <c r="AL25" s="111"/>
      <c r="AM25" s="111"/>
      <c r="AN25" s="111"/>
      <c r="AO25" s="51" t="str">
        <f t="shared" si="15"/>
        <v>126-150</v>
      </c>
      <c r="AP25" s="55">
        <v>150</v>
      </c>
      <c r="AQ25" s="56">
        <v>0</v>
      </c>
      <c r="AR25" s="59"/>
      <c r="AS25" s="59"/>
      <c r="AT25" s="59"/>
      <c r="AU25" s="59"/>
      <c r="AV25" s="59"/>
      <c r="AW25" s="59"/>
    </row>
    <row r="26" spans="1:72" x14ac:dyDescent="0.2">
      <c r="A26" s="31"/>
      <c r="B26" s="70">
        <v>8</v>
      </c>
      <c r="C26" s="51">
        <v>1</v>
      </c>
      <c r="D26" s="37">
        <v>8</v>
      </c>
      <c r="E26" s="35">
        <v>1</v>
      </c>
      <c r="F26" s="35">
        <f t="shared" si="7"/>
        <v>1</v>
      </c>
      <c r="G26" s="37" cm="1">
        <f t="array" ref="G26">IF(E26&lt;=INDEX($B$4:$B$17,C26),1,0)</f>
        <v>1</v>
      </c>
      <c r="H26" s="37">
        <v>118</v>
      </c>
      <c r="I26" s="38">
        <v>78</v>
      </c>
      <c r="J26" s="55">
        <f t="shared" si="9"/>
        <v>118</v>
      </c>
      <c r="K26" s="55">
        <f t="shared" si="8"/>
        <v>78</v>
      </c>
      <c r="L26" s="55">
        <f t="shared" si="10"/>
        <v>1</v>
      </c>
      <c r="M26" s="55" t="str">
        <f t="shared" si="11"/>
        <v/>
      </c>
      <c r="N26" s="31"/>
      <c r="O26" s="31"/>
      <c r="P26" s="51" t="str">
        <f t="shared" si="12"/>
        <v>161-170</v>
      </c>
      <c r="Q26" s="55">
        <v>170</v>
      </c>
      <c r="R26" s="56">
        <v>5</v>
      </c>
      <c r="S26" s="31"/>
      <c r="T26" s="31"/>
      <c r="U26" s="31"/>
      <c r="V26" s="31"/>
      <c r="W26" s="51" t="str">
        <f t="shared" si="13"/>
        <v>121-140</v>
      </c>
      <c r="X26" s="55">
        <v>140</v>
      </c>
      <c r="Y26" s="56">
        <v>45</v>
      </c>
      <c r="Z26" s="31"/>
      <c r="AA26" s="31"/>
      <c r="AB26" s="31"/>
      <c r="AC26" s="110"/>
      <c r="AD26" s="111"/>
      <c r="AE26" s="111"/>
      <c r="AF26" s="51" t="str">
        <f t="shared" si="14"/>
        <v>151-175</v>
      </c>
      <c r="AG26" s="55">
        <v>175</v>
      </c>
      <c r="AH26" s="56">
        <v>29</v>
      </c>
      <c r="AI26" s="111"/>
      <c r="AJ26" s="111"/>
      <c r="AK26" s="111"/>
      <c r="AL26" s="111"/>
      <c r="AM26" s="111"/>
      <c r="AN26" s="111"/>
      <c r="AO26" s="51" t="str">
        <f t="shared" si="15"/>
        <v>151-175</v>
      </c>
      <c r="AP26" s="55">
        <v>175</v>
      </c>
      <c r="AQ26" s="56">
        <v>0</v>
      </c>
      <c r="AR26" s="59"/>
      <c r="AS26" s="59"/>
      <c r="AT26" s="59"/>
      <c r="AU26" s="59"/>
      <c r="AV26" s="59"/>
      <c r="AW26" s="59"/>
    </row>
    <row r="27" spans="1:72" x14ac:dyDescent="0.2">
      <c r="A27" s="31"/>
      <c r="B27" s="67">
        <v>9</v>
      </c>
      <c r="C27" s="51">
        <v>1</v>
      </c>
      <c r="D27" s="37">
        <v>9</v>
      </c>
      <c r="E27" s="37">
        <v>2</v>
      </c>
      <c r="F27" s="37">
        <f t="shared" si="7"/>
        <v>1</v>
      </c>
      <c r="G27" s="37" cm="1">
        <f t="array" ref="G27">IF(E27&lt;=INDEX($B$4:$B$17,C27),1,0)</f>
        <v>1</v>
      </c>
      <c r="H27" s="37">
        <v>78</v>
      </c>
      <c r="I27" s="38">
        <v>38</v>
      </c>
      <c r="J27" s="55">
        <f t="shared" si="9"/>
        <v>78</v>
      </c>
      <c r="K27" s="55">
        <f t="shared" si="8"/>
        <v>38</v>
      </c>
      <c r="L27" s="55">
        <f t="shared" si="10"/>
        <v>1</v>
      </c>
      <c r="M27" s="55" t="str">
        <f t="shared" si="11"/>
        <v/>
      </c>
      <c r="N27" s="31"/>
      <c r="O27" s="31"/>
      <c r="P27" s="52"/>
      <c r="Q27" s="57"/>
      <c r="R27" s="58">
        <v>0</v>
      </c>
      <c r="S27" s="31"/>
      <c r="T27" s="31"/>
      <c r="U27" s="31"/>
      <c r="V27" s="31"/>
      <c r="W27" s="51" t="str">
        <f t="shared" si="13"/>
        <v>141-160</v>
      </c>
      <c r="X27" s="55">
        <v>160</v>
      </c>
      <c r="Y27" s="56">
        <v>64</v>
      </c>
      <c r="Z27" s="31"/>
      <c r="AA27" s="31"/>
      <c r="AB27" s="31"/>
      <c r="AC27" s="110"/>
      <c r="AD27" s="111"/>
      <c r="AE27" s="111"/>
      <c r="AF27" s="51" t="str">
        <f t="shared" si="14"/>
        <v>176-200</v>
      </c>
      <c r="AG27" s="55">
        <v>200</v>
      </c>
      <c r="AH27" s="56">
        <v>15</v>
      </c>
      <c r="AI27" s="111"/>
      <c r="AJ27" s="111"/>
      <c r="AK27" s="111"/>
      <c r="AL27" s="111"/>
      <c r="AM27" s="111"/>
      <c r="AN27" s="111"/>
      <c r="AO27" s="51" t="str">
        <f t="shared" si="15"/>
        <v>176-200</v>
      </c>
      <c r="AP27" s="55">
        <v>200</v>
      </c>
      <c r="AQ27" s="56">
        <v>0</v>
      </c>
      <c r="AR27" s="59"/>
      <c r="AS27" s="59"/>
      <c r="AT27" s="59"/>
      <c r="AU27" s="59"/>
      <c r="AV27" s="59"/>
      <c r="AW27" s="59"/>
    </row>
    <row r="28" spans="1:72" x14ac:dyDescent="0.2">
      <c r="A28" s="31"/>
      <c r="B28" s="70">
        <v>10</v>
      </c>
      <c r="C28" s="51">
        <v>1</v>
      </c>
      <c r="D28" s="37">
        <v>10</v>
      </c>
      <c r="E28" s="37">
        <v>3</v>
      </c>
      <c r="F28" s="37">
        <f t="shared" si="7"/>
        <v>1</v>
      </c>
      <c r="G28" s="37" cm="1">
        <f t="array" ref="G28">IF(E28&lt;=INDEX($B$4:$B$17,C28),1,0)</f>
        <v>1</v>
      </c>
      <c r="H28" s="37">
        <v>38</v>
      </c>
      <c r="I28" s="38">
        <v>61</v>
      </c>
      <c r="J28" s="55">
        <f t="shared" si="9"/>
        <v>38</v>
      </c>
      <c r="K28" s="55">
        <f t="shared" si="8"/>
        <v>61</v>
      </c>
      <c r="L28" s="55">
        <f t="shared" si="10"/>
        <v>1</v>
      </c>
      <c r="M28" s="55" t="str">
        <f t="shared" si="11"/>
        <v/>
      </c>
      <c r="N28" s="31"/>
      <c r="O28" s="31"/>
      <c r="P28" s="31"/>
      <c r="Q28" s="31"/>
      <c r="R28" s="31"/>
      <c r="S28" s="31"/>
      <c r="T28" s="31"/>
      <c r="U28" s="31"/>
      <c r="V28" s="31"/>
      <c r="W28" s="52" t="str">
        <f>161&amp;"&gt;="</f>
        <v>161&gt;=</v>
      </c>
      <c r="X28" s="57" t="s">
        <v>124</v>
      </c>
      <c r="Y28" s="58">
        <v>5</v>
      </c>
      <c r="Z28" s="31"/>
      <c r="AA28" s="31"/>
      <c r="AB28" s="31"/>
      <c r="AC28" s="110"/>
      <c r="AD28" s="111"/>
      <c r="AE28" s="111"/>
      <c r="AF28" s="52" t="str">
        <f>161&amp;"&gt;="</f>
        <v>161&gt;=</v>
      </c>
      <c r="AG28" s="57" t="s">
        <v>124</v>
      </c>
      <c r="AH28" s="58">
        <v>2</v>
      </c>
      <c r="AI28" s="111"/>
      <c r="AJ28" s="111"/>
      <c r="AK28" s="111"/>
      <c r="AL28" s="111"/>
      <c r="AM28" s="111"/>
      <c r="AN28" s="111"/>
      <c r="AO28" s="52" t="str">
        <f>161&amp;"&gt;="</f>
        <v>161&gt;=</v>
      </c>
      <c r="AP28" s="57" t="s">
        <v>124</v>
      </c>
      <c r="AQ28" s="58">
        <v>0</v>
      </c>
      <c r="AR28" s="59"/>
      <c r="AS28" s="59"/>
      <c r="AT28" s="59"/>
      <c r="AU28" s="59"/>
      <c r="AV28" s="59"/>
      <c r="AW28" s="59"/>
    </row>
    <row r="29" spans="1:72" x14ac:dyDescent="0.2">
      <c r="A29" s="31"/>
      <c r="B29" s="67">
        <v>11</v>
      </c>
      <c r="C29" s="51">
        <v>1</v>
      </c>
      <c r="D29" s="37">
        <v>11</v>
      </c>
      <c r="E29" s="37">
        <v>4</v>
      </c>
      <c r="F29" s="37">
        <f t="shared" si="7"/>
        <v>1</v>
      </c>
      <c r="G29" s="37" cm="1">
        <f t="array" ref="G29">IF(E29&lt;=INDEX($B$4:$B$17,C29),1,0)</f>
        <v>1</v>
      </c>
      <c r="H29" s="37">
        <v>61</v>
      </c>
      <c r="I29" s="38">
        <v>66</v>
      </c>
      <c r="J29" s="55">
        <f t="shared" si="9"/>
        <v>61</v>
      </c>
      <c r="K29" s="55">
        <f t="shared" si="8"/>
        <v>66</v>
      </c>
      <c r="L29" s="55">
        <f t="shared" si="10"/>
        <v>1</v>
      </c>
      <c r="M29" s="55" t="str">
        <f t="shared" si="11"/>
        <v/>
      </c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110"/>
      <c r="AD29" s="110"/>
      <c r="AE29" s="111"/>
      <c r="AF29" s="111"/>
      <c r="AG29" s="111"/>
      <c r="AH29" s="111"/>
      <c r="AI29" s="112"/>
      <c r="AJ29" s="111"/>
      <c r="AK29" s="111"/>
      <c r="AL29" s="111"/>
      <c r="AM29" s="111"/>
      <c r="AN29" s="111"/>
      <c r="AO29" s="111"/>
      <c r="AP29" s="111"/>
      <c r="AQ29" s="111"/>
      <c r="AR29" s="59"/>
      <c r="AS29" s="59"/>
      <c r="AT29" s="59"/>
      <c r="AU29" s="59"/>
      <c r="AV29" s="59"/>
      <c r="AW29" s="59"/>
    </row>
    <row r="30" spans="1:72" x14ac:dyDescent="0.2">
      <c r="A30" s="31"/>
      <c r="B30" s="70">
        <v>12</v>
      </c>
      <c r="C30" s="51">
        <v>1</v>
      </c>
      <c r="D30" s="37">
        <v>12</v>
      </c>
      <c r="E30" s="37">
        <v>5</v>
      </c>
      <c r="F30" s="37">
        <f t="shared" si="7"/>
        <v>1</v>
      </c>
      <c r="G30" s="37" cm="1">
        <f t="array" ref="G30">IF(E30&lt;=INDEX($B$4:$B$17,C30),1,0)</f>
        <v>0</v>
      </c>
      <c r="H30" s="37">
        <v>0</v>
      </c>
      <c r="I30" s="38">
        <v>76</v>
      </c>
      <c r="J30" s="55">
        <f t="shared" si="9"/>
        <v>66</v>
      </c>
      <c r="K30" s="55">
        <f t="shared" si="8"/>
        <v>142</v>
      </c>
      <c r="L30" s="55">
        <f t="shared" si="10"/>
        <v>0</v>
      </c>
      <c r="M30" s="55" t="str">
        <f t="shared" si="11"/>
        <v/>
      </c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110"/>
      <c r="AD30" s="110"/>
      <c r="AE30" s="111"/>
      <c r="AF30" s="111"/>
      <c r="AG30" s="111"/>
      <c r="AH30" s="111"/>
      <c r="AI30" s="112"/>
      <c r="AJ30" s="111"/>
      <c r="AK30" s="111"/>
      <c r="AL30" s="111"/>
      <c r="AM30" s="111"/>
      <c r="AN30" s="111"/>
      <c r="AO30" s="111"/>
      <c r="AP30" s="59"/>
      <c r="AQ30" s="59"/>
      <c r="AR30" s="59"/>
      <c r="AS30" s="59"/>
      <c r="AT30" s="59"/>
      <c r="AU30" s="59"/>
      <c r="AV30" s="59"/>
      <c r="AW30" s="59"/>
    </row>
    <row r="31" spans="1:72" x14ac:dyDescent="0.2">
      <c r="A31" s="31"/>
      <c r="B31" s="67">
        <v>13</v>
      </c>
      <c r="C31" s="51">
        <v>1</v>
      </c>
      <c r="D31" s="37">
        <v>13</v>
      </c>
      <c r="E31" s="37">
        <v>6</v>
      </c>
      <c r="F31" s="37">
        <f t="shared" si="7"/>
        <v>0</v>
      </c>
      <c r="G31" s="37" cm="1">
        <f t="array" ref="G31">IF(E31&lt;=INDEX($B$4:$B$17,C31),1,0)</f>
        <v>0</v>
      </c>
      <c r="H31" s="37">
        <v>0</v>
      </c>
      <c r="I31" s="38">
        <v>0</v>
      </c>
      <c r="J31" s="55">
        <f t="shared" si="9"/>
        <v>142</v>
      </c>
      <c r="K31" s="55">
        <f t="shared" si="8"/>
        <v>142</v>
      </c>
      <c r="L31" s="55">
        <f t="shared" si="10"/>
        <v>0</v>
      </c>
      <c r="M31" s="55" t="str">
        <f t="shared" si="11"/>
        <v/>
      </c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110"/>
      <c r="AD31" s="110"/>
      <c r="AE31" s="111"/>
      <c r="AF31" s="111"/>
      <c r="AG31" s="111"/>
      <c r="AH31" s="111"/>
      <c r="AI31" s="112"/>
      <c r="AJ31" s="111"/>
      <c r="AK31" s="111"/>
      <c r="AL31" s="111"/>
      <c r="AM31" s="111"/>
      <c r="AN31" s="111"/>
      <c r="AO31" s="111"/>
      <c r="AP31" s="59"/>
      <c r="AQ31" s="59"/>
      <c r="AR31" s="59"/>
      <c r="AS31" s="59"/>
      <c r="AT31" s="59"/>
      <c r="AU31" s="59"/>
      <c r="AV31" s="59"/>
      <c r="AW31" s="59"/>
    </row>
    <row r="32" spans="1:72" x14ac:dyDescent="0.2">
      <c r="A32" s="31"/>
      <c r="B32" s="70">
        <v>14</v>
      </c>
      <c r="C32" s="52">
        <v>1</v>
      </c>
      <c r="D32" s="39">
        <v>14</v>
      </c>
      <c r="E32" s="37">
        <v>7</v>
      </c>
      <c r="F32" s="37">
        <f t="shared" si="7"/>
        <v>0</v>
      </c>
      <c r="G32" s="37" cm="1">
        <f t="array" ref="G32">IF(E32&lt;=INDEX($B$4:$B$17,C32),1,0)</f>
        <v>0</v>
      </c>
      <c r="H32" s="39">
        <v>0</v>
      </c>
      <c r="I32" s="40">
        <v>0</v>
      </c>
      <c r="J32" s="55">
        <f t="shared" si="9"/>
        <v>142</v>
      </c>
      <c r="K32" s="55">
        <f t="shared" si="8"/>
        <v>142</v>
      </c>
      <c r="L32" s="55">
        <f t="shared" si="10"/>
        <v>0</v>
      </c>
      <c r="M32" s="55" t="str">
        <f t="shared" si="11"/>
        <v/>
      </c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110"/>
      <c r="AD32" s="110"/>
      <c r="AE32" s="111"/>
      <c r="AF32" s="111"/>
      <c r="AG32" s="111"/>
      <c r="AH32" s="111"/>
      <c r="AI32" s="112"/>
      <c r="AJ32" s="111"/>
      <c r="AK32" s="111"/>
      <c r="AL32" s="111"/>
      <c r="AM32" s="111"/>
      <c r="AN32" s="111"/>
      <c r="AO32" s="111"/>
      <c r="AP32" s="59"/>
      <c r="AQ32" s="59"/>
      <c r="AR32" s="59"/>
      <c r="AS32" s="59"/>
      <c r="AT32" s="59"/>
      <c r="AU32" s="59"/>
      <c r="AV32" s="59"/>
      <c r="AW32" s="59"/>
    </row>
    <row r="33" spans="1:49" x14ac:dyDescent="0.2">
      <c r="A33" s="31" t="s">
        <v>99</v>
      </c>
      <c r="B33" s="67">
        <v>15</v>
      </c>
      <c r="C33" s="50">
        <v>2</v>
      </c>
      <c r="D33" s="53">
        <v>1</v>
      </c>
      <c r="E33" s="35">
        <v>1</v>
      </c>
      <c r="F33" s="35">
        <f t="shared" si="7"/>
        <v>1</v>
      </c>
      <c r="G33" s="35" cm="1">
        <f t="array" ref="G33">IF(E33&lt;=INDEX($B$4:$B$17,C33),1,0)</f>
        <v>1</v>
      </c>
      <c r="H33" s="53">
        <v>124</v>
      </c>
      <c r="I33" s="54">
        <v>98</v>
      </c>
      <c r="J33" s="55">
        <f t="shared" si="9"/>
        <v>142</v>
      </c>
      <c r="K33" s="55">
        <f t="shared" si="8"/>
        <v>116</v>
      </c>
      <c r="L33" s="55">
        <f t="shared" si="10"/>
        <v>0</v>
      </c>
      <c r="M33" s="55">
        <f t="shared" si="11"/>
        <v>124</v>
      </c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110"/>
      <c r="AD33" s="110"/>
      <c r="AE33" s="110"/>
      <c r="AF33" s="110"/>
      <c r="AG33" s="110"/>
      <c r="AH33" s="110"/>
      <c r="AI33" s="112"/>
      <c r="AJ33" s="111"/>
      <c r="AK33" s="111"/>
      <c r="AL33" s="111"/>
      <c r="AM33" s="111"/>
      <c r="AN33" s="111"/>
      <c r="AO33" s="111"/>
      <c r="AP33" s="59"/>
      <c r="AQ33" s="59"/>
      <c r="AR33" s="59"/>
      <c r="AS33" s="59"/>
      <c r="AT33" s="59"/>
      <c r="AU33" s="59"/>
      <c r="AV33" s="59"/>
      <c r="AW33" s="59"/>
    </row>
    <row r="34" spans="1:49" x14ac:dyDescent="0.2">
      <c r="A34" s="31"/>
      <c r="B34" s="70">
        <v>16</v>
      </c>
      <c r="C34" s="51">
        <v>2</v>
      </c>
      <c r="D34" s="55">
        <v>2</v>
      </c>
      <c r="E34" s="37">
        <v>2</v>
      </c>
      <c r="F34" s="37">
        <f t="shared" si="7"/>
        <v>1</v>
      </c>
      <c r="G34" s="37" cm="1">
        <f t="array" ref="G34">IF(E34&lt;=INDEX($B$4:$B$17,C34),1,0)</f>
        <v>1</v>
      </c>
      <c r="H34" s="55">
        <v>116</v>
      </c>
      <c r="I34" s="56">
        <v>90</v>
      </c>
      <c r="J34" s="55">
        <f t="shared" si="9"/>
        <v>116</v>
      </c>
      <c r="K34" s="55">
        <f t="shared" si="8"/>
        <v>90</v>
      </c>
      <c r="L34" s="55">
        <f t="shared" si="10"/>
        <v>1</v>
      </c>
      <c r="M34" s="55" t="str">
        <f t="shared" si="11"/>
        <v/>
      </c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110"/>
      <c r="AD34" s="110"/>
      <c r="AE34" s="110"/>
      <c r="AF34" s="110"/>
      <c r="AG34" s="110"/>
      <c r="AH34" s="110"/>
      <c r="AI34" s="112"/>
      <c r="AJ34" s="111"/>
      <c r="AK34" s="111"/>
      <c r="AL34" s="111"/>
      <c r="AM34" s="111"/>
      <c r="AN34" s="111"/>
      <c r="AO34" s="111"/>
      <c r="AP34" s="59"/>
      <c r="AQ34" s="59"/>
      <c r="AR34" s="59"/>
      <c r="AS34" s="59"/>
      <c r="AT34" s="59"/>
      <c r="AU34" s="59"/>
      <c r="AV34" s="59"/>
      <c r="AW34" s="59"/>
    </row>
    <row r="35" spans="1:49" x14ac:dyDescent="0.2">
      <c r="A35" s="31"/>
      <c r="B35" s="67">
        <v>17</v>
      </c>
      <c r="C35" s="51">
        <v>2</v>
      </c>
      <c r="D35" s="55">
        <v>3</v>
      </c>
      <c r="E35" s="37">
        <v>3</v>
      </c>
      <c r="F35" s="37">
        <f t="shared" si="7"/>
        <v>1</v>
      </c>
      <c r="G35" s="37" cm="1">
        <f t="array" ref="G35">IF(E35&lt;=INDEX($B$4:$B$17,C35),1,0)</f>
        <v>1</v>
      </c>
      <c r="H35" s="55">
        <v>90</v>
      </c>
      <c r="I35" s="56">
        <v>97</v>
      </c>
      <c r="J35" s="55">
        <f t="shared" si="9"/>
        <v>90</v>
      </c>
      <c r="K35" s="55">
        <f t="shared" si="8"/>
        <v>97</v>
      </c>
      <c r="L35" s="55">
        <f t="shared" si="10"/>
        <v>1</v>
      </c>
      <c r="M35" s="55" t="str">
        <f t="shared" si="11"/>
        <v/>
      </c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110"/>
      <c r="AD35" s="110"/>
      <c r="AE35" s="110"/>
      <c r="AF35" s="110"/>
      <c r="AG35" s="110"/>
      <c r="AH35" s="110"/>
      <c r="AI35" s="112"/>
      <c r="AJ35" s="111"/>
      <c r="AK35" s="111"/>
      <c r="AL35" s="111"/>
      <c r="AM35" s="111"/>
      <c r="AN35" s="111"/>
      <c r="AO35" s="111"/>
      <c r="AP35" s="59"/>
      <c r="AQ35" s="59"/>
      <c r="AR35" s="59"/>
      <c r="AS35" s="59"/>
      <c r="AT35" s="59"/>
      <c r="AU35" s="59"/>
      <c r="AV35" s="59"/>
      <c r="AW35" s="59"/>
    </row>
    <row r="36" spans="1:49" x14ac:dyDescent="0.2">
      <c r="A36" s="31"/>
      <c r="B36" s="70">
        <v>18</v>
      </c>
      <c r="C36" s="51">
        <v>2</v>
      </c>
      <c r="D36" s="55">
        <v>4</v>
      </c>
      <c r="E36" s="37">
        <v>4</v>
      </c>
      <c r="F36" s="37">
        <f t="shared" si="7"/>
        <v>1</v>
      </c>
      <c r="G36" s="37" cm="1">
        <f t="array" ref="G36">IF(E36&lt;=INDEX($B$4:$B$17,C36),1,0)</f>
        <v>1</v>
      </c>
      <c r="H36" s="55">
        <v>97</v>
      </c>
      <c r="I36" s="56">
        <v>110</v>
      </c>
      <c r="J36" s="55">
        <f t="shared" si="9"/>
        <v>97</v>
      </c>
      <c r="K36" s="55">
        <f t="shared" si="8"/>
        <v>110</v>
      </c>
      <c r="L36" s="55">
        <f t="shared" si="10"/>
        <v>1</v>
      </c>
      <c r="M36" s="55" t="str">
        <f t="shared" si="11"/>
        <v/>
      </c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110"/>
      <c r="AD36" s="110"/>
      <c r="AE36" s="110"/>
      <c r="AF36" s="110"/>
      <c r="AG36" s="110"/>
      <c r="AH36" s="110"/>
      <c r="AI36" s="112"/>
      <c r="AJ36" s="111"/>
      <c r="AK36" s="111"/>
      <c r="AL36" s="111"/>
      <c r="AM36" s="111"/>
      <c r="AN36" s="111"/>
      <c r="AO36" s="111"/>
      <c r="AP36" s="59"/>
      <c r="AQ36" s="59"/>
      <c r="AR36" s="59"/>
      <c r="AS36" s="59"/>
      <c r="AT36" s="59"/>
      <c r="AU36" s="59"/>
      <c r="AV36" s="59"/>
      <c r="AW36" s="59"/>
    </row>
    <row r="37" spans="1:49" x14ac:dyDescent="0.2">
      <c r="A37" s="31"/>
      <c r="B37" s="67">
        <v>19</v>
      </c>
      <c r="C37" s="51">
        <v>2</v>
      </c>
      <c r="D37" s="55">
        <v>5</v>
      </c>
      <c r="E37" s="37">
        <v>5</v>
      </c>
      <c r="F37" s="37">
        <f t="shared" si="7"/>
        <v>1</v>
      </c>
      <c r="G37" s="37" cm="1">
        <f t="array" ref="G37">IF(E37&lt;=INDEX($B$4:$B$17,C37),1,0)</f>
        <v>0</v>
      </c>
      <c r="H37" s="55">
        <v>0</v>
      </c>
      <c r="I37" s="56">
        <v>87</v>
      </c>
      <c r="J37" s="55">
        <f t="shared" si="9"/>
        <v>110</v>
      </c>
      <c r="K37" s="55">
        <f t="shared" si="8"/>
        <v>197</v>
      </c>
      <c r="L37" s="55">
        <f t="shared" si="10"/>
        <v>0</v>
      </c>
      <c r="M37" s="55" t="str">
        <f t="shared" si="11"/>
        <v/>
      </c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110"/>
      <c r="AD37" s="110"/>
      <c r="AE37" s="110"/>
      <c r="AF37" s="110"/>
      <c r="AG37" s="110"/>
      <c r="AH37" s="110"/>
      <c r="AI37" s="112"/>
      <c r="AJ37" s="111"/>
      <c r="AK37" s="111"/>
      <c r="AL37" s="111"/>
      <c r="AM37" s="111"/>
      <c r="AN37" s="111"/>
      <c r="AO37" s="111"/>
      <c r="AP37" s="59"/>
      <c r="AQ37" s="59"/>
      <c r="AR37" s="59"/>
      <c r="AS37" s="59"/>
      <c r="AT37" s="59"/>
      <c r="AU37" s="59"/>
      <c r="AV37" s="59"/>
      <c r="AW37" s="59"/>
    </row>
    <row r="38" spans="1:49" x14ac:dyDescent="0.2">
      <c r="A38" s="31"/>
      <c r="B38" s="70">
        <v>20</v>
      </c>
      <c r="C38" s="51">
        <v>2</v>
      </c>
      <c r="D38" s="55">
        <v>6</v>
      </c>
      <c r="E38" s="37">
        <v>6</v>
      </c>
      <c r="F38" s="37">
        <f t="shared" si="7"/>
        <v>0</v>
      </c>
      <c r="G38" s="37" cm="1">
        <f t="array" ref="G38">IF(E38&lt;=INDEX($B$4:$B$17,C38),1,0)</f>
        <v>0</v>
      </c>
      <c r="H38" s="55">
        <v>0</v>
      </c>
      <c r="I38" s="56">
        <v>0</v>
      </c>
      <c r="J38" s="55">
        <f t="shared" si="9"/>
        <v>197</v>
      </c>
      <c r="K38" s="55">
        <f t="shared" si="8"/>
        <v>197</v>
      </c>
      <c r="L38" s="55">
        <f t="shared" si="10"/>
        <v>0</v>
      </c>
      <c r="M38" s="55" t="str">
        <f t="shared" si="11"/>
        <v/>
      </c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110"/>
      <c r="AD38" s="110"/>
      <c r="AE38" s="110"/>
      <c r="AF38" s="110"/>
      <c r="AG38" s="110"/>
      <c r="AH38" s="110"/>
      <c r="AI38" s="112"/>
      <c r="AJ38" s="111"/>
      <c r="AK38" s="111"/>
      <c r="AL38" s="111"/>
      <c r="AM38" s="111"/>
      <c r="AN38" s="111"/>
      <c r="AO38" s="111"/>
      <c r="AP38" s="59"/>
      <c r="AQ38" s="59"/>
      <c r="AR38" s="59"/>
      <c r="AS38" s="59"/>
      <c r="AT38" s="59"/>
      <c r="AU38" s="59"/>
      <c r="AV38" s="59"/>
      <c r="AW38" s="59"/>
    </row>
    <row r="39" spans="1:49" x14ac:dyDescent="0.2">
      <c r="A39" s="31"/>
      <c r="B39" s="67">
        <v>21</v>
      </c>
      <c r="C39" s="51">
        <v>2</v>
      </c>
      <c r="D39" s="55">
        <v>7</v>
      </c>
      <c r="E39" s="37">
        <v>7</v>
      </c>
      <c r="F39" s="37">
        <f t="shared" si="7"/>
        <v>0</v>
      </c>
      <c r="G39" s="37" cm="1">
        <f t="array" ref="G39">IF(E39&lt;=INDEX($B$4:$B$17,C39),1,0)</f>
        <v>0</v>
      </c>
      <c r="H39" s="55">
        <v>0</v>
      </c>
      <c r="I39" s="56">
        <v>0</v>
      </c>
      <c r="J39" s="55">
        <f t="shared" si="9"/>
        <v>197</v>
      </c>
      <c r="K39" s="55">
        <f t="shared" si="8"/>
        <v>197</v>
      </c>
      <c r="L39" s="55">
        <f t="shared" si="10"/>
        <v>0</v>
      </c>
      <c r="M39" s="55" t="str">
        <f t="shared" si="11"/>
        <v/>
      </c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110"/>
      <c r="AD39" s="110"/>
      <c r="AE39" s="110"/>
      <c r="AF39" s="110"/>
      <c r="AG39" s="110"/>
      <c r="AH39" s="110"/>
      <c r="AI39" s="112"/>
      <c r="AJ39" s="111"/>
      <c r="AK39" s="111"/>
      <c r="AL39" s="111"/>
      <c r="AM39" s="111"/>
      <c r="AN39" s="111"/>
      <c r="AO39" s="111"/>
      <c r="AP39" s="59"/>
      <c r="AQ39" s="59"/>
      <c r="AR39" s="59"/>
      <c r="AS39" s="59"/>
      <c r="AT39" s="59"/>
      <c r="AU39" s="59"/>
      <c r="AV39" s="59"/>
      <c r="AW39" s="59"/>
    </row>
    <row r="40" spans="1:49" x14ac:dyDescent="0.2">
      <c r="A40" s="31"/>
      <c r="B40" s="70">
        <v>22</v>
      </c>
      <c r="C40" s="51">
        <v>2</v>
      </c>
      <c r="D40" s="55">
        <v>8</v>
      </c>
      <c r="E40" s="35">
        <v>1</v>
      </c>
      <c r="F40" s="35">
        <f t="shared" si="7"/>
        <v>1</v>
      </c>
      <c r="G40" s="37" cm="1">
        <f t="array" ref="G40">IF(E40&lt;=INDEX($B$4:$B$17,C40),1,0)</f>
        <v>1</v>
      </c>
      <c r="H40" s="55">
        <v>137</v>
      </c>
      <c r="I40" s="56">
        <v>77</v>
      </c>
      <c r="J40" s="55">
        <f t="shared" si="9"/>
        <v>197</v>
      </c>
      <c r="K40" s="55">
        <f t="shared" si="8"/>
        <v>137</v>
      </c>
      <c r="L40" s="55">
        <f t="shared" si="10"/>
        <v>0</v>
      </c>
      <c r="M40" s="55">
        <f t="shared" si="11"/>
        <v>137</v>
      </c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110"/>
      <c r="AD40" s="110"/>
      <c r="AE40" s="110"/>
      <c r="AF40" s="110"/>
      <c r="AG40" s="110"/>
      <c r="AH40" s="110"/>
      <c r="AI40" s="112"/>
      <c r="AJ40" s="111"/>
      <c r="AK40" s="111"/>
      <c r="AL40" s="111"/>
      <c r="AM40" s="111"/>
      <c r="AN40" s="111"/>
      <c r="AO40" s="111"/>
      <c r="AP40" s="59"/>
      <c r="AQ40" s="59"/>
      <c r="AR40" s="59"/>
      <c r="AS40" s="59"/>
      <c r="AT40" s="59"/>
      <c r="AU40" s="59"/>
      <c r="AV40" s="59"/>
      <c r="AW40" s="59"/>
    </row>
    <row r="41" spans="1:49" x14ac:dyDescent="0.2">
      <c r="A41" s="31"/>
      <c r="B41" s="67">
        <v>23</v>
      </c>
      <c r="C41" s="51">
        <v>2</v>
      </c>
      <c r="D41" s="55">
        <v>9</v>
      </c>
      <c r="E41" s="37">
        <v>2</v>
      </c>
      <c r="F41" s="37">
        <f t="shared" si="7"/>
        <v>1</v>
      </c>
      <c r="G41" s="37" cm="1">
        <f t="array" ref="G41">IF(E41&lt;=INDEX($B$4:$B$17,C41),1,0)</f>
        <v>1</v>
      </c>
      <c r="H41" s="55">
        <v>134</v>
      </c>
      <c r="I41" s="56">
        <v>92</v>
      </c>
      <c r="J41" s="55">
        <f t="shared" si="9"/>
        <v>137</v>
      </c>
      <c r="K41" s="55">
        <f t="shared" si="8"/>
        <v>95</v>
      </c>
      <c r="L41" s="55">
        <f t="shared" si="10"/>
        <v>0</v>
      </c>
      <c r="M41" s="55">
        <f t="shared" si="11"/>
        <v>134</v>
      </c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110"/>
      <c r="AD41" s="110"/>
      <c r="AE41" s="110"/>
      <c r="AF41" s="110"/>
      <c r="AG41" s="110"/>
      <c r="AH41" s="110"/>
      <c r="AI41" s="112"/>
      <c r="AJ41" s="111"/>
      <c r="AK41" s="111"/>
      <c r="AL41" s="111"/>
      <c r="AM41" s="111"/>
      <c r="AN41" s="111"/>
      <c r="AO41" s="111"/>
      <c r="AP41" s="59"/>
      <c r="AQ41" s="59"/>
      <c r="AR41" s="59"/>
      <c r="AS41" s="59"/>
      <c r="AT41" s="59"/>
      <c r="AU41" s="59"/>
      <c r="AV41" s="59"/>
      <c r="AW41" s="59"/>
    </row>
    <row r="42" spans="1:49" x14ac:dyDescent="0.2">
      <c r="A42" s="31"/>
      <c r="B42" s="70">
        <v>24</v>
      </c>
      <c r="C42" s="51">
        <v>2</v>
      </c>
      <c r="D42" s="55">
        <v>10</v>
      </c>
      <c r="E42" s="37">
        <v>3</v>
      </c>
      <c r="F42" s="37">
        <f t="shared" si="7"/>
        <v>1</v>
      </c>
      <c r="G42" s="37" cm="1">
        <f t="array" ref="G42">IF(E42&lt;=INDEX($B$4:$B$17,C42),1,0)</f>
        <v>1</v>
      </c>
      <c r="H42" s="55">
        <v>86</v>
      </c>
      <c r="I42" s="56">
        <v>90</v>
      </c>
      <c r="J42" s="55">
        <f t="shared" si="9"/>
        <v>95</v>
      </c>
      <c r="K42" s="55">
        <f t="shared" si="8"/>
        <v>99</v>
      </c>
      <c r="L42" s="55">
        <f t="shared" si="10"/>
        <v>0</v>
      </c>
      <c r="M42" s="55">
        <f t="shared" si="11"/>
        <v>86</v>
      </c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110"/>
      <c r="AD42" s="110"/>
      <c r="AE42" s="110"/>
      <c r="AF42" s="110"/>
      <c r="AG42" s="110"/>
      <c r="AH42" s="110"/>
      <c r="AI42" s="112"/>
      <c r="AJ42" s="111"/>
      <c r="AK42" s="111"/>
      <c r="AL42" s="111"/>
      <c r="AM42" s="111"/>
      <c r="AN42" s="111"/>
      <c r="AO42" s="111"/>
      <c r="AP42" s="59"/>
      <c r="AQ42" s="59"/>
      <c r="AR42" s="59"/>
      <c r="AS42" s="59"/>
      <c r="AT42" s="59"/>
      <c r="AU42" s="59"/>
      <c r="AV42" s="59"/>
      <c r="AW42" s="59"/>
    </row>
    <row r="43" spans="1:49" x14ac:dyDescent="0.2">
      <c r="A43" s="31"/>
      <c r="B43" s="67">
        <v>25</v>
      </c>
      <c r="C43" s="51">
        <v>2</v>
      </c>
      <c r="D43" s="55">
        <v>11</v>
      </c>
      <c r="E43" s="37">
        <v>4</v>
      </c>
      <c r="F43" s="37">
        <f t="shared" si="7"/>
        <v>1</v>
      </c>
      <c r="G43" s="37" cm="1">
        <f t="array" ref="G43">IF(E43&lt;=INDEX($B$4:$B$17,C43),1,0)</f>
        <v>1</v>
      </c>
      <c r="H43" s="55">
        <v>99</v>
      </c>
      <c r="I43" s="56">
        <v>97</v>
      </c>
      <c r="J43" s="55">
        <f t="shared" si="9"/>
        <v>99</v>
      </c>
      <c r="K43" s="55">
        <f t="shared" si="8"/>
        <v>97</v>
      </c>
      <c r="L43" s="55">
        <f t="shared" si="10"/>
        <v>1</v>
      </c>
      <c r="M43" s="55" t="str">
        <f t="shared" si="11"/>
        <v/>
      </c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110"/>
      <c r="AD43" s="110"/>
      <c r="AE43" s="110"/>
      <c r="AF43" s="110"/>
      <c r="AG43" s="110"/>
      <c r="AH43" s="110"/>
      <c r="AI43" s="112"/>
      <c r="AJ43" s="111"/>
      <c r="AK43" s="111"/>
      <c r="AL43" s="111"/>
      <c r="AM43" s="111"/>
      <c r="AN43" s="111"/>
      <c r="AO43" s="111"/>
      <c r="AP43" s="59"/>
      <c r="AQ43" s="59"/>
      <c r="AR43" s="59"/>
      <c r="AS43" s="59"/>
      <c r="AT43" s="59"/>
      <c r="AU43" s="59"/>
      <c r="AV43" s="59"/>
      <c r="AW43" s="59"/>
    </row>
    <row r="44" spans="1:49" x14ac:dyDescent="0.2">
      <c r="A44" s="31"/>
      <c r="B44" s="70">
        <v>26</v>
      </c>
      <c r="C44" s="51">
        <v>2</v>
      </c>
      <c r="D44" s="55">
        <v>12</v>
      </c>
      <c r="E44" s="37">
        <v>5</v>
      </c>
      <c r="F44" s="37">
        <f t="shared" si="7"/>
        <v>1</v>
      </c>
      <c r="G44" s="37" cm="1">
        <f t="array" ref="G44">IF(E44&lt;=INDEX($B$4:$B$17,C44),1,0)</f>
        <v>0</v>
      </c>
      <c r="H44" s="55">
        <v>0</v>
      </c>
      <c r="I44" s="56">
        <v>102</v>
      </c>
      <c r="J44" s="55">
        <f t="shared" si="9"/>
        <v>97</v>
      </c>
      <c r="K44" s="55">
        <f t="shared" si="8"/>
        <v>199</v>
      </c>
      <c r="L44" s="55">
        <f t="shared" si="10"/>
        <v>0</v>
      </c>
      <c r="M44" s="55" t="str">
        <f t="shared" si="11"/>
        <v/>
      </c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110"/>
      <c r="AD44" s="110"/>
      <c r="AE44" s="110"/>
      <c r="AF44" s="110"/>
      <c r="AG44" s="110"/>
      <c r="AH44" s="110"/>
      <c r="AI44" s="112"/>
      <c r="AJ44" s="111"/>
      <c r="AK44" s="111"/>
      <c r="AL44" s="111"/>
      <c r="AM44" s="111"/>
      <c r="AN44" s="111"/>
      <c r="AO44" s="111"/>
      <c r="AP44" s="59"/>
      <c r="AQ44" s="59"/>
      <c r="AR44" s="59"/>
      <c r="AS44" s="59"/>
      <c r="AT44" s="59"/>
      <c r="AU44" s="59"/>
      <c r="AV44" s="59"/>
      <c r="AW44" s="59"/>
    </row>
    <row r="45" spans="1:49" x14ac:dyDescent="0.2">
      <c r="A45" s="31"/>
      <c r="B45" s="67">
        <v>27</v>
      </c>
      <c r="C45" s="51">
        <v>2</v>
      </c>
      <c r="D45" s="55">
        <v>13</v>
      </c>
      <c r="E45" s="37">
        <v>6</v>
      </c>
      <c r="F45" s="37">
        <f t="shared" si="7"/>
        <v>0</v>
      </c>
      <c r="G45" s="37" cm="1">
        <f t="array" ref="G45">IF(E45&lt;=INDEX($B$4:$B$17,C45),1,0)</f>
        <v>0</v>
      </c>
      <c r="H45" s="55">
        <v>0</v>
      </c>
      <c r="I45" s="56">
        <v>0</v>
      </c>
      <c r="J45" s="55">
        <f t="shared" si="9"/>
        <v>199</v>
      </c>
      <c r="K45" s="55">
        <f t="shared" si="8"/>
        <v>199</v>
      </c>
      <c r="L45" s="55">
        <f t="shared" si="10"/>
        <v>0</v>
      </c>
      <c r="M45" s="55" t="str">
        <f t="shared" si="11"/>
        <v/>
      </c>
      <c r="N45" s="31"/>
      <c r="O45" s="114"/>
      <c r="P45" s="114"/>
      <c r="Q45" s="114"/>
      <c r="R45" s="114"/>
      <c r="S45" s="114"/>
      <c r="T45" s="114"/>
      <c r="U45" s="31"/>
      <c r="V45" s="31"/>
      <c r="W45" s="31"/>
      <c r="X45" s="31"/>
      <c r="Y45" s="31"/>
      <c r="Z45" s="31"/>
      <c r="AA45" s="31"/>
      <c r="AB45" s="31"/>
      <c r="AC45" s="110"/>
      <c r="AD45" s="110"/>
      <c r="AE45" s="110"/>
      <c r="AF45" s="110"/>
      <c r="AG45" s="110"/>
      <c r="AH45" s="110"/>
      <c r="AI45" s="112"/>
      <c r="AJ45" s="111"/>
      <c r="AK45" s="111"/>
      <c r="AL45" s="111"/>
      <c r="AM45" s="111"/>
      <c r="AN45" s="111"/>
      <c r="AO45" s="111"/>
      <c r="AP45" s="59"/>
      <c r="AQ45" s="59"/>
      <c r="AR45" s="59"/>
      <c r="AS45" s="59"/>
      <c r="AT45" s="59"/>
      <c r="AU45" s="59"/>
      <c r="AV45" s="59"/>
      <c r="AW45" s="59"/>
    </row>
    <row r="46" spans="1:49" x14ac:dyDescent="0.2">
      <c r="A46" s="31"/>
      <c r="B46" s="70">
        <v>28</v>
      </c>
      <c r="C46" s="52">
        <v>2</v>
      </c>
      <c r="D46" s="57">
        <v>14</v>
      </c>
      <c r="E46" s="37">
        <v>7</v>
      </c>
      <c r="F46" s="37">
        <f t="shared" si="7"/>
        <v>0</v>
      </c>
      <c r="G46" s="37" cm="1">
        <f t="array" ref="G46">IF(E46&lt;=INDEX($B$4:$B$17,C46),1,0)</f>
        <v>0</v>
      </c>
      <c r="H46" s="57">
        <v>0</v>
      </c>
      <c r="I46" s="58">
        <v>0</v>
      </c>
      <c r="J46" s="55">
        <f t="shared" si="9"/>
        <v>199</v>
      </c>
      <c r="K46" s="55">
        <f t="shared" si="8"/>
        <v>199</v>
      </c>
      <c r="L46" s="55">
        <f t="shared" si="10"/>
        <v>0</v>
      </c>
      <c r="M46" s="55" t="str">
        <f t="shared" si="11"/>
        <v/>
      </c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110"/>
      <c r="AD46" s="110"/>
      <c r="AE46" s="110"/>
      <c r="AF46" s="110"/>
      <c r="AG46" s="110"/>
      <c r="AH46" s="110"/>
      <c r="AI46" s="112"/>
      <c r="AJ46" s="111"/>
      <c r="AK46" s="111"/>
      <c r="AL46" s="111"/>
      <c r="AM46" s="111"/>
      <c r="AN46" s="111"/>
      <c r="AO46" s="111"/>
      <c r="AP46" s="59"/>
      <c r="AQ46" s="59"/>
      <c r="AR46" s="59"/>
      <c r="AS46" s="59"/>
      <c r="AT46" s="59"/>
      <c r="AU46" s="59"/>
      <c r="AV46" s="59"/>
      <c r="AW46" s="59"/>
    </row>
    <row r="47" spans="1:49" x14ac:dyDescent="0.2">
      <c r="A47" s="31" t="s">
        <v>98</v>
      </c>
      <c r="B47" s="67">
        <v>29</v>
      </c>
      <c r="C47" s="50">
        <v>3</v>
      </c>
      <c r="D47" s="53">
        <v>1</v>
      </c>
      <c r="E47" s="35">
        <v>1</v>
      </c>
      <c r="F47" s="35">
        <f t="shared" si="7"/>
        <v>1</v>
      </c>
      <c r="G47" s="35" cm="1">
        <f t="array" ref="G47">IF(E47&lt;=INDEX($B$4:$B$17,C47),1,0)</f>
        <v>1</v>
      </c>
      <c r="H47" s="53">
        <v>140</v>
      </c>
      <c r="I47" s="54">
        <v>63</v>
      </c>
      <c r="J47" s="55">
        <f t="shared" si="9"/>
        <v>199</v>
      </c>
      <c r="K47" s="55">
        <f t="shared" si="8"/>
        <v>122</v>
      </c>
      <c r="L47" s="55">
        <f t="shared" si="10"/>
        <v>0</v>
      </c>
      <c r="M47" s="55">
        <f t="shared" si="11"/>
        <v>140</v>
      </c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110"/>
      <c r="AD47" s="110"/>
      <c r="AE47" s="110"/>
      <c r="AF47" s="110"/>
      <c r="AG47" s="110"/>
      <c r="AH47" s="110"/>
      <c r="AI47" s="112"/>
      <c r="AJ47" s="111"/>
      <c r="AK47" s="111"/>
      <c r="AL47" s="111"/>
      <c r="AM47" s="111"/>
      <c r="AN47" s="111"/>
      <c r="AO47" s="111"/>
      <c r="AP47" s="59"/>
      <c r="AQ47" s="59"/>
      <c r="AR47" s="59"/>
      <c r="AS47" s="59"/>
      <c r="AT47" s="59"/>
      <c r="AU47" s="59"/>
      <c r="AV47" s="59"/>
      <c r="AW47" s="59"/>
    </row>
    <row r="48" spans="1:49" x14ac:dyDescent="0.2">
      <c r="A48" s="31"/>
      <c r="B48" s="70">
        <v>30</v>
      </c>
      <c r="C48" s="51">
        <v>3</v>
      </c>
      <c r="D48" s="55">
        <v>2</v>
      </c>
      <c r="E48" s="37">
        <v>2</v>
      </c>
      <c r="F48" s="37">
        <f t="shared" si="7"/>
        <v>1</v>
      </c>
      <c r="G48" s="37" cm="1">
        <f t="array" ref="G48">IF(E48&lt;=INDEX($B$4:$B$17,C48),1,0)</f>
        <v>1</v>
      </c>
      <c r="H48" s="55">
        <v>122</v>
      </c>
      <c r="I48" s="56">
        <v>83</v>
      </c>
      <c r="J48" s="55">
        <f t="shared" si="9"/>
        <v>122</v>
      </c>
      <c r="K48" s="55">
        <f t="shared" si="8"/>
        <v>83</v>
      </c>
      <c r="L48" s="55">
        <f t="shared" si="10"/>
        <v>1</v>
      </c>
      <c r="M48" s="55" t="str">
        <f t="shared" si="11"/>
        <v/>
      </c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110"/>
      <c r="AD48" s="110"/>
      <c r="AE48" s="110"/>
      <c r="AF48" s="110"/>
      <c r="AG48" s="110"/>
      <c r="AH48" s="110"/>
      <c r="AI48" s="112"/>
      <c r="AJ48" s="111"/>
      <c r="AK48" s="111"/>
      <c r="AL48" s="111"/>
      <c r="AM48" s="111"/>
      <c r="AN48" s="111"/>
      <c r="AO48" s="111"/>
      <c r="AP48" s="59"/>
      <c r="AQ48" s="59"/>
      <c r="AR48" s="59"/>
      <c r="AS48" s="59"/>
      <c r="AT48" s="59"/>
      <c r="AU48" s="59"/>
      <c r="AV48" s="59"/>
      <c r="AW48" s="59"/>
    </row>
    <row r="49" spans="1:49" x14ac:dyDescent="0.2">
      <c r="A49" s="31"/>
      <c r="B49" s="67">
        <v>31</v>
      </c>
      <c r="C49" s="51">
        <v>3</v>
      </c>
      <c r="D49" s="55">
        <v>3</v>
      </c>
      <c r="E49" s="37">
        <v>3</v>
      </c>
      <c r="F49" s="37">
        <f t="shared" si="7"/>
        <v>1</v>
      </c>
      <c r="G49" s="37" cm="1">
        <f t="array" ref="G49">IF(E49&lt;=INDEX($B$4:$B$17,C49),1,0)</f>
        <v>1</v>
      </c>
      <c r="H49" s="55">
        <v>83</v>
      </c>
      <c r="I49" s="56">
        <v>85</v>
      </c>
      <c r="J49" s="55">
        <f t="shared" si="9"/>
        <v>83</v>
      </c>
      <c r="K49" s="55">
        <f t="shared" si="8"/>
        <v>85</v>
      </c>
      <c r="L49" s="55">
        <f t="shared" si="10"/>
        <v>1</v>
      </c>
      <c r="M49" s="55" t="str">
        <f t="shared" si="11"/>
        <v/>
      </c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110"/>
      <c r="AD49" s="110"/>
      <c r="AE49" s="110"/>
      <c r="AF49" s="110"/>
      <c r="AG49" s="110"/>
      <c r="AH49" s="110"/>
      <c r="AI49" s="112"/>
      <c r="AJ49" s="111"/>
      <c r="AK49" s="111"/>
      <c r="AL49" s="111"/>
      <c r="AM49" s="111"/>
      <c r="AN49" s="111"/>
      <c r="AO49" s="111"/>
      <c r="AP49" s="59"/>
      <c r="AQ49" s="59"/>
      <c r="AR49" s="59"/>
      <c r="AS49" s="59"/>
      <c r="AT49" s="59"/>
      <c r="AU49" s="59"/>
      <c r="AV49" s="59"/>
      <c r="AW49" s="59"/>
    </row>
    <row r="50" spans="1:49" x14ac:dyDescent="0.2">
      <c r="A50" s="31"/>
      <c r="B50" s="70">
        <v>32</v>
      </c>
      <c r="C50" s="51">
        <v>3</v>
      </c>
      <c r="D50" s="55">
        <v>4</v>
      </c>
      <c r="E50" s="37">
        <v>4</v>
      </c>
      <c r="F50" s="37">
        <f t="shared" si="7"/>
        <v>1</v>
      </c>
      <c r="G50" s="37" cm="1">
        <f t="array" ref="G50">IF(E50&lt;=INDEX($B$4:$B$17,C50),1,0)</f>
        <v>1</v>
      </c>
      <c r="H50" s="55">
        <v>85</v>
      </c>
      <c r="I50" s="56">
        <v>106</v>
      </c>
      <c r="J50" s="55">
        <f t="shared" si="9"/>
        <v>85</v>
      </c>
      <c r="K50" s="55">
        <f t="shared" si="8"/>
        <v>106</v>
      </c>
      <c r="L50" s="55">
        <f t="shared" si="10"/>
        <v>1</v>
      </c>
      <c r="M50" s="55" t="str">
        <f t="shared" si="11"/>
        <v/>
      </c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110"/>
      <c r="AD50" s="110"/>
      <c r="AE50" s="110"/>
      <c r="AF50" s="110"/>
      <c r="AG50" s="110"/>
      <c r="AH50" s="110"/>
      <c r="AI50" s="112"/>
      <c r="AJ50" s="111"/>
      <c r="AK50" s="111"/>
      <c r="AL50" s="111"/>
      <c r="AM50" s="111"/>
      <c r="AN50" s="111"/>
      <c r="AO50" s="111"/>
      <c r="AP50" s="59"/>
      <c r="AQ50" s="59"/>
      <c r="AR50" s="59"/>
      <c r="AS50" s="59"/>
      <c r="AT50" s="59"/>
      <c r="AU50" s="59"/>
      <c r="AV50" s="59"/>
      <c r="AW50" s="59"/>
    </row>
    <row r="51" spans="1:49" x14ac:dyDescent="0.2">
      <c r="A51" s="31"/>
      <c r="B51" s="67">
        <v>33</v>
      </c>
      <c r="C51" s="51">
        <v>3</v>
      </c>
      <c r="D51" s="55">
        <v>5</v>
      </c>
      <c r="E51" s="37">
        <v>5</v>
      </c>
      <c r="F51" s="37">
        <f t="shared" si="7"/>
        <v>1</v>
      </c>
      <c r="G51" s="37" cm="1">
        <f t="array" ref="G51">IF(E51&lt;=INDEX($B$4:$B$17,C51),1,0)</f>
        <v>0</v>
      </c>
      <c r="H51" s="55">
        <v>0</v>
      </c>
      <c r="I51" s="56">
        <v>91</v>
      </c>
      <c r="J51" s="55">
        <f t="shared" si="9"/>
        <v>106</v>
      </c>
      <c r="K51" s="55">
        <f t="shared" si="8"/>
        <v>197</v>
      </c>
      <c r="L51" s="55">
        <f t="shared" si="10"/>
        <v>0</v>
      </c>
      <c r="M51" s="55" t="str">
        <f t="shared" si="11"/>
        <v/>
      </c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110"/>
      <c r="AD51" s="110"/>
      <c r="AE51" s="110"/>
      <c r="AF51" s="110"/>
      <c r="AG51" s="110"/>
      <c r="AH51" s="110"/>
      <c r="AI51" s="112"/>
      <c r="AJ51" s="111"/>
      <c r="AK51" s="111"/>
      <c r="AL51" s="111"/>
      <c r="AM51" s="111"/>
      <c r="AN51" s="111"/>
      <c r="AO51" s="111"/>
      <c r="AP51" s="59"/>
      <c r="AQ51" s="59"/>
      <c r="AR51" s="59"/>
      <c r="AS51" s="59"/>
      <c r="AT51" s="59"/>
      <c r="AU51" s="59"/>
      <c r="AV51" s="59"/>
      <c r="AW51" s="59"/>
    </row>
    <row r="52" spans="1:49" x14ac:dyDescent="0.2">
      <c r="A52" s="31"/>
      <c r="B52" s="70">
        <v>34</v>
      </c>
      <c r="C52" s="51">
        <v>3</v>
      </c>
      <c r="D52" s="55">
        <v>6</v>
      </c>
      <c r="E52" s="37">
        <v>6</v>
      </c>
      <c r="F52" s="37">
        <f t="shared" si="7"/>
        <v>0</v>
      </c>
      <c r="G52" s="37" cm="1">
        <f t="array" ref="G52">IF(E52&lt;=INDEX($B$4:$B$17,C52),1,0)</f>
        <v>0</v>
      </c>
      <c r="H52" s="55">
        <v>0</v>
      </c>
      <c r="I52" s="56">
        <v>0</v>
      </c>
      <c r="J52" s="55">
        <f t="shared" si="9"/>
        <v>197</v>
      </c>
      <c r="K52" s="55">
        <f t="shared" si="8"/>
        <v>197</v>
      </c>
      <c r="L52" s="55">
        <f t="shared" si="10"/>
        <v>0</v>
      </c>
      <c r="M52" s="55" t="str">
        <f t="shared" si="11"/>
        <v/>
      </c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110"/>
      <c r="AD52" s="110"/>
      <c r="AE52" s="110"/>
      <c r="AF52" s="110"/>
      <c r="AG52" s="110"/>
      <c r="AH52" s="110"/>
      <c r="AI52" s="112"/>
      <c r="AJ52" s="111"/>
      <c r="AK52" s="111"/>
      <c r="AL52" s="111"/>
      <c r="AM52" s="111"/>
      <c r="AN52" s="111"/>
      <c r="AO52" s="111"/>
      <c r="AP52" s="59"/>
      <c r="AQ52" s="59"/>
      <c r="AR52" s="59"/>
      <c r="AS52" s="59"/>
      <c r="AT52" s="59"/>
      <c r="AU52" s="59"/>
      <c r="AV52" s="59"/>
      <c r="AW52" s="59"/>
    </row>
    <row r="53" spans="1:49" x14ac:dyDescent="0.2">
      <c r="A53" s="31"/>
      <c r="B53" s="67">
        <v>35</v>
      </c>
      <c r="C53" s="51">
        <v>3</v>
      </c>
      <c r="D53" s="55">
        <v>7</v>
      </c>
      <c r="E53" s="37">
        <v>7</v>
      </c>
      <c r="F53" s="37">
        <f t="shared" si="7"/>
        <v>0</v>
      </c>
      <c r="G53" s="37" cm="1">
        <f t="array" ref="G53">IF(E53&lt;=INDEX($B$4:$B$17,C53),1,0)</f>
        <v>0</v>
      </c>
      <c r="H53" s="55">
        <v>0</v>
      </c>
      <c r="I53" s="56">
        <v>0</v>
      </c>
      <c r="J53" s="55">
        <f t="shared" si="9"/>
        <v>197</v>
      </c>
      <c r="K53" s="55">
        <f t="shared" si="8"/>
        <v>197</v>
      </c>
      <c r="L53" s="55">
        <f t="shared" si="10"/>
        <v>0</v>
      </c>
      <c r="M53" s="55" t="str">
        <f t="shared" si="11"/>
        <v/>
      </c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110"/>
      <c r="AD53" s="110"/>
      <c r="AE53" s="110"/>
      <c r="AF53" s="110"/>
      <c r="AG53" s="110"/>
      <c r="AH53" s="110"/>
      <c r="AI53" s="112"/>
      <c r="AJ53" s="111"/>
      <c r="AK53" s="111"/>
      <c r="AL53" s="111"/>
      <c r="AM53" s="111"/>
      <c r="AN53" s="111"/>
      <c r="AO53" s="111"/>
      <c r="AP53" s="59"/>
      <c r="AQ53" s="59"/>
      <c r="AR53" s="59"/>
      <c r="AS53" s="59"/>
      <c r="AT53" s="59"/>
      <c r="AU53" s="59"/>
      <c r="AV53" s="59"/>
      <c r="AW53" s="59"/>
    </row>
    <row r="54" spans="1:49" x14ac:dyDescent="0.2">
      <c r="A54" s="31"/>
      <c r="B54" s="70">
        <v>36</v>
      </c>
      <c r="C54" s="51">
        <v>3</v>
      </c>
      <c r="D54" s="55">
        <v>8</v>
      </c>
      <c r="E54" s="35">
        <v>1</v>
      </c>
      <c r="F54" s="35">
        <f t="shared" si="7"/>
        <v>1</v>
      </c>
      <c r="G54" s="37" cm="1">
        <f t="array" ref="G54">IF(E54&lt;=INDEX($B$4:$B$17,C54),1,0)</f>
        <v>1</v>
      </c>
      <c r="H54" s="55">
        <v>143</v>
      </c>
      <c r="I54" s="56">
        <v>138</v>
      </c>
      <c r="J54" s="55">
        <f t="shared" si="9"/>
        <v>197</v>
      </c>
      <c r="K54" s="55">
        <f t="shared" si="8"/>
        <v>192</v>
      </c>
      <c r="L54" s="55">
        <f t="shared" si="10"/>
        <v>0</v>
      </c>
      <c r="M54" s="55">
        <f t="shared" si="11"/>
        <v>143</v>
      </c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110"/>
      <c r="AD54" s="110"/>
      <c r="AE54" s="110"/>
      <c r="AF54" s="110"/>
      <c r="AG54" s="110"/>
      <c r="AH54" s="110"/>
      <c r="AI54" s="112"/>
      <c r="AJ54" s="111"/>
      <c r="AK54" s="111"/>
      <c r="AL54" s="111"/>
      <c r="AM54" s="111"/>
      <c r="AN54" s="111"/>
      <c r="AO54" s="111"/>
      <c r="AP54" s="59"/>
      <c r="AQ54" s="59"/>
      <c r="AR54" s="59"/>
      <c r="AS54" s="59"/>
      <c r="AT54" s="59"/>
      <c r="AU54" s="59"/>
      <c r="AV54" s="59"/>
      <c r="AW54" s="59"/>
    </row>
    <row r="55" spans="1:49" x14ac:dyDescent="0.2">
      <c r="A55" s="31"/>
      <c r="B55" s="67">
        <v>37</v>
      </c>
      <c r="C55" s="51">
        <v>3</v>
      </c>
      <c r="D55" s="55">
        <v>9</v>
      </c>
      <c r="E55" s="37">
        <v>2</v>
      </c>
      <c r="F55" s="37">
        <f t="shared" si="7"/>
        <v>1</v>
      </c>
      <c r="G55" s="37" cm="1">
        <f t="array" ref="G55">IF(E55&lt;=INDEX($B$4:$B$17,C55),1,0)</f>
        <v>1</v>
      </c>
      <c r="H55" s="55">
        <v>157</v>
      </c>
      <c r="I55" s="56">
        <v>102</v>
      </c>
      <c r="J55" s="55">
        <f t="shared" si="9"/>
        <v>192</v>
      </c>
      <c r="K55" s="55">
        <f t="shared" si="8"/>
        <v>137</v>
      </c>
      <c r="L55" s="55">
        <f t="shared" si="10"/>
        <v>0</v>
      </c>
      <c r="M55" s="55">
        <f t="shared" si="11"/>
        <v>157</v>
      </c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110"/>
      <c r="AD55" s="110"/>
      <c r="AE55" s="110"/>
      <c r="AF55" s="110"/>
      <c r="AG55" s="110"/>
      <c r="AH55" s="110"/>
      <c r="AI55" s="112"/>
      <c r="AJ55" s="111"/>
      <c r="AK55" s="111"/>
      <c r="AL55" s="111"/>
      <c r="AM55" s="111"/>
      <c r="AN55" s="111"/>
      <c r="AO55" s="111"/>
      <c r="AP55" s="59"/>
      <c r="AQ55" s="59"/>
      <c r="AR55" s="59"/>
      <c r="AS55" s="59"/>
      <c r="AT55" s="59"/>
      <c r="AU55" s="59"/>
      <c r="AV55" s="59"/>
      <c r="AW55" s="59"/>
    </row>
    <row r="56" spans="1:49" x14ac:dyDescent="0.2">
      <c r="A56" s="31"/>
      <c r="B56" s="70">
        <v>38</v>
      </c>
      <c r="C56" s="51">
        <v>3</v>
      </c>
      <c r="D56" s="55">
        <v>10</v>
      </c>
      <c r="E56" s="37">
        <v>3</v>
      </c>
      <c r="F56" s="37">
        <f t="shared" si="7"/>
        <v>1</v>
      </c>
      <c r="G56" s="37" cm="1">
        <f t="array" ref="G56">IF(E56&lt;=INDEX($B$4:$B$17,C56),1,0)</f>
        <v>1</v>
      </c>
      <c r="H56" s="55">
        <v>129</v>
      </c>
      <c r="I56" s="56">
        <v>109</v>
      </c>
      <c r="J56" s="55">
        <f t="shared" si="9"/>
        <v>137</v>
      </c>
      <c r="K56" s="55">
        <f t="shared" si="8"/>
        <v>117</v>
      </c>
      <c r="L56" s="55">
        <f t="shared" si="10"/>
        <v>0</v>
      </c>
      <c r="M56" s="55">
        <f t="shared" si="11"/>
        <v>129</v>
      </c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110"/>
      <c r="AD56" s="110"/>
      <c r="AE56" s="110"/>
      <c r="AF56" s="110"/>
      <c r="AG56" s="110"/>
      <c r="AH56" s="110"/>
      <c r="AI56" s="112"/>
      <c r="AJ56" s="111"/>
      <c r="AK56" s="111"/>
      <c r="AL56" s="111"/>
      <c r="AM56" s="111"/>
      <c r="AN56" s="111"/>
      <c r="AO56" s="111"/>
      <c r="AP56" s="59"/>
      <c r="AQ56" s="59"/>
      <c r="AR56" s="59"/>
      <c r="AS56" s="59"/>
      <c r="AT56" s="59"/>
      <c r="AU56" s="59"/>
      <c r="AV56" s="59"/>
      <c r="AW56" s="59"/>
    </row>
    <row r="57" spans="1:49" x14ac:dyDescent="0.2">
      <c r="A57" s="31"/>
      <c r="B57" s="67">
        <v>39</v>
      </c>
      <c r="C57" s="51">
        <v>3</v>
      </c>
      <c r="D57" s="55">
        <v>11</v>
      </c>
      <c r="E57" s="37">
        <v>4</v>
      </c>
      <c r="F57" s="37">
        <f t="shared" si="7"/>
        <v>1</v>
      </c>
      <c r="G57" s="37" cm="1">
        <f t="array" ref="G57">IF(E57&lt;=INDEX($B$4:$B$17,C57),1,0)</f>
        <v>1</v>
      </c>
      <c r="H57" s="55">
        <v>117</v>
      </c>
      <c r="I57" s="56">
        <v>83</v>
      </c>
      <c r="J57" s="55">
        <f t="shared" si="9"/>
        <v>117</v>
      </c>
      <c r="K57" s="55">
        <f t="shared" si="8"/>
        <v>83</v>
      </c>
      <c r="L57" s="55">
        <f t="shared" si="10"/>
        <v>1</v>
      </c>
      <c r="M57" s="55" t="str">
        <f t="shared" si="11"/>
        <v/>
      </c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110"/>
      <c r="AD57" s="110"/>
      <c r="AE57" s="110"/>
      <c r="AF57" s="110"/>
      <c r="AG57" s="110"/>
      <c r="AH57" s="110"/>
      <c r="AI57" s="112"/>
      <c r="AJ57" s="111"/>
      <c r="AK57" s="111"/>
      <c r="AL57" s="111"/>
      <c r="AM57" s="111"/>
      <c r="AN57" s="111"/>
      <c r="AO57" s="111"/>
      <c r="AP57" s="59"/>
      <c r="AQ57" s="59"/>
      <c r="AR57" s="59"/>
      <c r="AS57" s="59"/>
      <c r="AT57" s="59"/>
      <c r="AU57" s="59"/>
      <c r="AV57" s="59"/>
      <c r="AW57" s="59"/>
    </row>
    <row r="58" spans="1:49" x14ac:dyDescent="0.2">
      <c r="A58" s="31"/>
      <c r="B58" s="70">
        <v>40</v>
      </c>
      <c r="C58" s="51">
        <v>3</v>
      </c>
      <c r="D58" s="55">
        <v>12</v>
      </c>
      <c r="E58" s="37">
        <v>5</v>
      </c>
      <c r="F58" s="37">
        <f t="shared" si="7"/>
        <v>1</v>
      </c>
      <c r="G58" s="37" cm="1">
        <f t="array" ref="G58">IF(E58&lt;=INDEX($B$4:$B$17,C58),1,0)</f>
        <v>0</v>
      </c>
      <c r="H58" s="55">
        <v>0</v>
      </c>
      <c r="I58" s="56">
        <v>122</v>
      </c>
      <c r="J58" s="55">
        <f t="shared" si="9"/>
        <v>83</v>
      </c>
      <c r="K58" s="55">
        <f t="shared" si="8"/>
        <v>205</v>
      </c>
      <c r="L58" s="55">
        <f t="shared" si="10"/>
        <v>0</v>
      </c>
      <c r="M58" s="55" t="str">
        <f t="shared" si="11"/>
        <v/>
      </c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110"/>
      <c r="AD58" s="110"/>
      <c r="AE58" s="110"/>
      <c r="AF58" s="110"/>
      <c r="AG58" s="110"/>
      <c r="AH58" s="110"/>
      <c r="AI58" s="112"/>
      <c r="AJ58" s="111"/>
      <c r="AK58" s="111"/>
      <c r="AL58" s="111"/>
      <c r="AM58" s="111"/>
      <c r="AN58" s="111"/>
      <c r="AO58" s="111"/>
      <c r="AP58" s="59"/>
      <c r="AQ58" s="59"/>
      <c r="AR58" s="59"/>
      <c r="AS58" s="59"/>
      <c r="AT58" s="59"/>
      <c r="AU58" s="59"/>
      <c r="AV58" s="59"/>
      <c r="AW58" s="59"/>
    </row>
    <row r="59" spans="1:49" x14ac:dyDescent="0.2">
      <c r="A59" s="31"/>
      <c r="B59" s="67">
        <v>41</v>
      </c>
      <c r="C59" s="51">
        <v>3</v>
      </c>
      <c r="D59" s="55">
        <v>13</v>
      </c>
      <c r="E59" s="37">
        <v>6</v>
      </c>
      <c r="F59" s="37">
        <f t="shared" si="7"/>
        <v>0</v>
      </c>
      <c r="G59" s="37" cm="1">
        <f t="array" ref="G59">IF(E59&lt;=INDEX($B$4:$B$17,C59),1,0)</f>
        <v>0</v>
      </c>
      <c r="H59" s="55">
        <v>0</v>
      </c>
      <c r="I59" s="56">
        <v>0</v>
      </c>
      <c r="J59" s="55">
        <f t="shared" si="9"/>
        <v>205</v>
      </c>
      <c r="K59" s="55">
        <f t="shared" si="8"/>
        <v>205</v>
      </c>
      <c r="L59" s="55">
        <f t="shared" si="10"/>
        <v>0</v>
      </c>
      <c r="M59" s="55" t="str">
        <f t="shared" si="11"/>
        <v/>
      </c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110"/>
      <c r="AD59" s="110"/>
      <c r="AE59" s="110"/>
      <c r="AF59" s="110"/>
      <c r="AG59" s="110"/>
      <c r="AH59" s="110"/>
      <c r="AI59" s="112"/>
      <c r="AJ59" s="111"/>
      <c r="AK59" s="111"/>
      <c r="AL59" s="111"/>
      <c r="AM59" s="111"/>
      <c r="AN59" s="111"/>
      <c r="AO59" s="111"/>
      <c r="AP59" s="59"/>
      <c r="AQ59" s="59"/>
      <c r="AR59" s="59"/>
      <c r="AS59" s="59"/>
      <c r="AT59" s="59"/>
      <c r="AU59" s="59"/>
      <c r="AV59" s="59"/>
      <c r="AW59" s="59"/>
    </row>
    <row r="60" spans="1:49" x14ac:dyDescent="0.2">
      <c r="A60" s="31"/>
      <c r="B60" s="70">
        <v>42</v>
      </c>
      <c r="C60" s="52">
        <v>3</v>
      </c>
      <c r="D60" s="57">
        <v>14</v>
      </c>
      <c r="E60" s="37">
        <v>7</v>
      </c>
      <c r="F60" s="37">
        <f t="shared" si="7"/>
        <v>0</v>
      </c>
      <c r="G60" s="37" cm="1">
        <f t="array" ref="G60">IF(E60&lt;=INDEX($B$4:$B$17,C60),1,0)</f>
        <v>0</v>
      </c>
      <c r="H60" s="57">
        <v>0</v>
      </c>
      <c r="I60" s="58">
        <v>0</v>
      </c>
      <c r="J60" s="55">
        <f t="shared" si="9"/>
        <v>205</v>
      </c>
      <c r="K60" s="55">
        <f t="shared" si="8"/>
        <v>205</v>
      </c>
      <c r="L60" s="55">
        <f t="shared" si="10"/>
        <v>0</v>
      </c>
      <c r="M60" s="55" t="str">
        <f t="shared" si="11"/>
        <v/>
      </c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110"/>
      <c r="AD60" s="110"/>
      <c r="AE60" s="110"/>
      <c r="AF60" s="110"/>
      <c r="AG60" s="110"/>
      <c r="AH60" s="110"/>
      <c r="AI60" s="112"/>
      <c r="AJ60" s="111"/>
      <c r="AK60" s="111"/>
      <c r="AL60" s="111"/>
      <c r="AM60" s="111"/>
      <c r="AN60" s="111"/>
      <c r="AO60" s="111"/>
      <c r="AP60" s="59"/>
      <c r="AQ60" s="59"/>
      <c r="AR60" s="59"/>
      <c r="AS60" s="59"/>
      <c r="AT60" s="59"/>
      <c r="AU60" s="59"/>
      <c r="AV60" s="59"/>
      <c r="AW60" s="59"/>
    </row>
    <row r="61" spans="1:49" x14ac:dyDescent="0.2">
      <c r="A61" s="31" t="s">
        <v>97</v>
      </c>
      <c r="B61" s="67">
        <v>43</v>
      </c>
      <c r="C61" s="50">
        <v>4</v>
      </c>
      <c r="D61" s="53">
        <v>1</v>
      </c>
      <c r="E61" s="35">
        <v>1</v>
      </c>
      <c r="F61" s="35">
        <f t="shared" si="7"/>
        <v>1</v>
      </c>
      <c r="G61" s="35" cm="1">
        <f t="array" ref="G61">IF(E61&lt;=INDEX($B$4:$B$17,C61),1,0)</f>
        <v>1</v>
      </c>
      <c r="H61" s="53">
        <v>157</v>
      </c>
      <c r="I61" s="54">
        <v>129</v>
      </c>
      <c r="J61" s="55">
        <f t="shared" si="9"/>
        <v>205</v>
      </c>
      <c r="K61" s="55">
        <f t="shared" si="8"/>
        <v>177</v>
      </c>
      <c r="L61" s="55">
        <f t="shared" si="10"/>
        <v>0</v>
      </c>
      <c r="M61" s="55">
        <f t="shared" si="11"/>
        <v>157</v>
      </c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110"/>
      <c r="AD61" s="110"/>
      <c r="AE61" s="110"/>
      <c r="AF61" s="110"/>
      <c r="AG61" s="110"/>
      <c r="AH61" s="110"/>
      <c r="AI61" s="112"/>
      <c r="AJ61" s="111"/>
      <c r="AK61" s="111"/>
      <c r="AL61" s="111"/>
      <c r="AM61" s="111"/>
      <c r="AN61" s="111"/>
      <c r="AO61" s="111"/>
      <c r="AP61" s="59"/>
      <c r="AQ61" s="59"/>
      <c r="AR61" s="59"/>
      <c r="AS61" s="59"/>
      <c r="AT61" s="59"/>
      <c r="AU61" s="59"/>
      <c r="AV61" s="59"/>
      <c r="AW61" s="59"/>
    </row>
    <row r="62" spans="1:49" x14ac:dyDescent="0.2">
      <c r="A62" s="31"/>
      <c r="B62" s="70">
        <v>44</v>
      </c>
      <c r="C62" s="51">
        <v>4</v>
      </c>
      <c r="D62" s="55">
        <v>2</v>
      </c>
      <c r="E62" s="37">
        <v>2</v>
      </c>
      <c r="F62" s="37">
        <f t="shared" si="7"/>
        <v>1</v>
      </c>
      <c r="G62" s="37" cm="1">
        <f t="array" ref="G62">IF(E62&lt;=INDEX($B$4:$B$17,C62),1,0)</f>
        <v>1</v>
      </c>
      <c r="H62" s="55">
        <v>131</v>
      </c>
      <c r="I62" s="56">
        <v>50</v>
      </c>
      <c r="J62" s="55">
        <f t="shared" si="9"/>
        <v>177</v>
      </c>
      <c r="K62" s="55">
        <f t="shared" si="8"/>
        <v>96</v>
      </c>
      <c r="L62" s="55">
        <f t="shared" si="10"/>
        <v>0</v>
      </c>
      <c r="M62" s="55">
        <f t="shared" si="11"/>
        <v>131</v>
      </c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110"/>
      <c r="AD62" s="110"/>
      <c r="AE62" s="110"/>
      <c r="AF62" s="110"/>
      <c r="AG62" s="110"/>
      <c r="AH62" s="110"/>
      <c r="AI62" s="112"/>
      <c r="AJ62" s="111"/>
      <c r="AK62" s="111"/>
      <c r="AL62" s="111"/>
      <c r="AM62" s="111"/>
      <c r="AN62" s="111"/>
      <c r="AO62" s="111"/>
      <c r="AP62" s="59"/>
      <c r="AQ62" s="59"/>
      <c r="AR62" s="59"/>
      <c r="AS62" s="59"/>
      <c r="AT62" s="59"/>
      <c r="AU62" s="59"/>
      <c r="AV62" s="59"/>
      <c r="AW62" s="59"/>
    </row>
    <row r="63" spans="1:49" x14ac:dyDescent="0.2">
      <c r="A63" s="31"/>
      <c r="B63" s="67">
        <v>45</v>
      </c>
      <c r="C63" s="51">
        <v>4</v>
      </c>
      <c r="D63" s="55">
        <v>3</v>
      </c>
      <c r="E63" s="37">
        <v>3</v>
      </c>
      <c r="F63" s="37">
        <f t="shared" si="7"/>
        <v>1</v>
      </c>
      <c r="G63" s="37" cm="1">
        <f t="array" ref="G63">IF(E63&lt;=INDEX($B$4:$B$17,C63),1,0)</f>
        <v>1</v>
      </c>
      <c r="H63" s="55">
        <v>96</v>
      </c>
      <c r="I63" s="56">
        <v>118</v>
      </c>
      <c r="J63" s="55">
        <f t="shared" si="9"/>
        <v>96</v>
      </c>
      <c r="K63" s="55">
        <f t="shared" si="8"/>
        <v>118</v>
      </c>
      <c r="L63" s="55">
        <f t="shared" si="10"/>
        <v>1</v>
      </c>
      <c r="M63" s="55" t="str">
        <f t="shared" si="11"/>
        <v/>
      </c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110"/>
      <c r="AD63" s="110"/>
      <c r="AE63" s="110"/>
      <c r="AF63" s="110"/>
      <c r="AG63" s="110"/>
      <c r="AH63" s="110"/>
      <c r="AI63" s="112"/>
      <c r="AJ63" s="111"/>
      <c r="AK63" s="111"/>
      <c r="AL63" s="111"/>
      <c r="AM63" s="111"/>
      <c r="AN63" s="111"/>
      <c r="AO63" s="111"/>
      <c r="AP63" s="59"/>
      <c r="AQ63" s="59"/>
      <c r="AR63" s="59"/>
      <c r="AS63" s="59"/>
      <c r="AT63" s="59"/>
      <c r="AU63" s="59"/>
      <c r="AV63" s="59"/>
      <c r="AW63" s="59"/>
    </row>
    <row r="64" spans="1:49" x14ac:dyDescent="0.2">
      <c r="A64" s="31"/>
      <c r="B64" s="70">
        <v>46</v>
      </c>
      <c r="C64" s="51">
        <v>4</v>
      </c>
      <c r="D64" s="55">
        <v>4</v>
      </c>
      <c r="E64" s="37">
        <v>4</v>
      </c>
      <c r="F64" s="37">
        <f t="shared" si="7"/>
        <v>1</v>
      </c>
      <c r="G64" s="37" cm="1">
        <f t="array" ref="G64">IF(E64&lt;=INDEX($B$4:$B$17,C64),1,0)</f>
        <v>1</v>
      </c>
      <c r="H64" s="55">
        <v>118</v>
      </c>
      <c r="I64" s="56">
        <v>141</v>
      </c>
      <c r="J64" s="55">
        <f t="shared" si="9"/>
        <v>118</v>
      </c>
      <c r="K64" s="55">
        <f t="shared" si="8"/>
        <v>141</v>
      </c>
      <c r="L64" s="55">
        <f t="shared" si="10"/>
        <v>1</v>
      </c>
      <c r="M64" s="55" t="str">
        <f t="shared" si="11"/>
        <v/>
      </c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110"/>
      <c r="AD64" s="110"/>
      <c r="AE64" s="110"/>
      <c r="AF64" s="110"/>
      <c r="AG64" s="110"/>
      <c r="AH64" s="110"/>
      <c r="AI64" s="112"/>
      <c r="AJ64" s="111"/>
      <c r="AK64" s="111"/>
      <c r="AL64" s="111"/>
      <c r="AM64" s="111"/>
      <c r="AN64" s="111"/>
      <c r="AO64" s="111"/>
      <c r="AP64" s="59"/>
      <c r="AQ64" s="59"/>
      <c r="AR64" s="59"/>
      <c r="AS64" s="59"/>
      <c r="AT64" s="59"/>
      <c r="AU64" s="59"/>
      <c r="AV64" s="59"/>
      <c r="AW64" s="59"/>
    </row>
    <row r="65" spans="1:49" x14ac:dyDescent="0.2">
      <c r="A65" s="31"/>
      <c r="B65" s="67">
        <v>47</v>
      </c>
      <c r="C65" s="51">
        <v>4</v>
      </c>
      <c r="D65" s="55">
        <v>5</v>
      </c>
      <c r="E65" s="37">
        <v>5</v>
      </c>
      <c r="F65" s="37">
        <f t="shared" si="7"/>
        <v>1</v>
      </c>
      <c r="G65" s="37" cm="1">
        <f t="array" ref="G65">IF(E65&lt;=INDEX($B$4:$B$17,C65),1,0)</f>
        <v>0</v>
      </c>
      <c r="H65" s="55">
        <v>0</v>
      </c>
      <c r="I65" s="56">
        <v>113</v>
      </c>
      <c r="J65" s="55">
        <f t="shared" si="9"/>
        <v>141</v>
      </c>
      <c r="K65" s="55">
        <f t="shared" si="8"/>
        <v>254</v>
      </c>
      <c r="L65" s="55">
        <f t="shared" si="10"/>
        <v>0</v>
      </c>
      <c r="M65" s="55" t="str">
        <f t="shared" si="11"/>
        <v/>
      </c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110"/>
      <c r="AD65" s="110"/>
      <c r="AE65" s="110"/>
      <c r="AF65" s="110"/>
      <c r="AG65" s="110"/>
      <c r="AH65" s="110"/>
      <c r="AI65" s="112"/>
      <c r="AJ65" s="111"/>
      <c r="AK65" s="111"/>
      <c r="AL65" s="111"/>
      <c r="AM65" s="111"/>
      <c r="AN65" s="111"/>
      <c r="AO65" s="111"/>
      <c r="AP65" s="59"/>
      <c r="AQ65" s="59"/>
      <c r="AR65" s="59"/>
      <c r="AS65" s="59"/>
      <c r="AT65" s="59"/>
      <c r="AU65" s="59"/>
      <c r="AV65" s="59"/>
      <c r="AW65" s="59"/>
    </row>
    <row r="66" spans="1:49" x14ac:dyDescent="0.2">
      <c r="A66" s="31"/>
      <c r="B66" s="70">
        <v>48</v>
      </c>
      <c r="C66" s="51">
        <v>4</v>
      </c>
      <c r="D66" s="55">
        <v>6</v>
      </c>
      <c r="E66" s="37">
        <v>6</v>
      </c>
      <c r="F66" s="37">
        <f t="shared" si="7"/>
        <v>0</v>
      </c>
      <c r="G66" s="37" cm="1">
        <f t="array" ref="G66">IF(E66&lt;=INDEX($B$4:$B$17,C66),1,0)</f>
        <v>0</v>
      </c>
      <c r="H66" s="55">
        <v>0</v>
      </c>
      <c r="I66" s="56">
        <v>0</v>
      </c>
      <c r="J66" s="55">
        <f t="shared" si="9"/>
        <v>254</v>
      </c>
      <c r="K66" s="55">
        <f t="shared" si="8"/>
        <v>254</v>
      </c>
      <c r="L66" s="55">
        <f t="shared" si="10"/>
        <v>0</v>
      </c>
      <c r="M66" s="55" t="str">
        <f t="shared" si="11"/>
        <v/>
      </c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110"/>
      <c r="AD66" s="110"/>
      <c r="AE66" s="110"/>
      <c r="AF66" s="110"/>
      <c r="AG66" s="110"/>
      <c r="AH66" s="110"/>
      <c r="AI66" s="112"/>
      <c r="AJ66" s="111"/>
      <c r="AK66" s="111"/>
      <c r="AL66" s="111"/>
      <c r="AM66" s="111"/>
      <c r="AN66" s="111"/>
      <c r="AO66" s="111"/>
      <c r="AP66" s="59"/>
      <c r="AQ66" s="59"/>
      <c r="AR66" s="59"/>
      <c r="AS66" s="59"/>
      <c r="AT66" s="59"/>
      <c r="AU66" s="59"/>
      <c r="AV66" s="59"/>
      <c r="AW66" s="59"/>
    </row>
    <row r="67" spans="1:49" x14ac:dyDescent="0.2">
      <c r="A67" s="31"/>
      <c r="B67" s="67">
        <v>49</v>
      </c>
      <c r="C67" s="51">
        <v>4</v>
      </c>
      <c r="D67" s="55">
        <v>7</v>
      </c>
      <c r="E67" s="37">
        <v>7</v>
      </c>
      <c r="F67" s="37">
        <f t="shared" si="7"/>
        <v>0</v>
      </c>
      <c r="G67" s="37" cm="1">
        <f t="array" ref="G67">IF(E67&lt;=INDEX($B$4:$B$17,C67),1,0)</f>
        <v>0</v>
      </c>
      <c r="H67" s="55">
        <v>0</v>
      </c>
      <c r="I67" s="56">
        <v>0</v>
      </c>
      <c r="J67" s="55">
        <f t="shared" si="9"/>
        <v>254</v>
      </c>
      <c r="K67" s="55">
        <f t="shared" si="8"/>
        <v>254</v>
      </c>
      <c r="L67" s="55">
        <f t="shared" si="10"/>
        <v>0</v>
      </c>
      <c r="M67" s="55" t="str">
        <f t="shared" si="11"/>
        <v/>
      </c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110"/>
      <c r="AD67" s="110"/>
      <c r="AE67" s="110"/>
      <c r="AF67" s="110"/>
      <c r="AG67" s="110"/>
      <c r="AH67" s="110"/>
      <c r="AI67" s="112"/>
      <c r="AJ67" s="111"/>
      <c r="AK67" s="111"/>
      <c r="AL67" s="111"/>
      <c r="AM67" s="111"/>
      <c r="AN67" s="111"/>
      <c r="AO67" s="111"/>
      <c r="AP67" s="59"/>
      <c r="AQ67" s="59"/>
      <c r="AR67" s="59"/>
      <c r="AS67" s="59"/>
      <c r="AT67" s="59"/>
      <c r="AU67" s="59"/>
      <c r="AV67" s="59"/>
      <c r="AW67" s="59"/>
    </row>
    <row r="68" spans="1:49" x14ac:dyDescent="0.2">
      <c r="A68" s="31"/>
      <c r="B68" s="70">
        <v>50</v>
      </c>
      <c r="C68" s="51">
        <v>4</v>
      </c>
      <c r="D68" s="55">
        <v>8</v>
      </c>
      <c r="E68" s="35">
        <v>1</v>
      </c>
      <c r="F68" s="35">
        <f t="shared" si="7"/>
        <v>1</v>
      </c>
      <c r="G68" s="37" cm="1">
        <f t="array" ref="G68">IF(E68&lt;=INDEX($B$4:$B$17,C68),1,0)</f>
        <v>1</v>
      </c>
      <c r="H68" s="55">
        <v>71</v>
      </c>
      <c r="I68" s="56">
        <v>93</v>
      </c>
      <c r="J68" s="55">
        <f t="shared" si="9"/>
        <v>254</v>
      </c>
      <c r="K68" s="55">
        <f t="shared" si="8"/>
        <v>276</v>
      </c>
      <c r="L68" s="55">
        <f t="shared" si="10"/>
        <v>0</v>
      </c>
      <c r="M68" s="55">
        <f t="shared" si="11"/>
        <v>71</v>
      </c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110"/>
      <c r="AD68" s="110"/>
      <c r="AE68" s="110"/>
      <c r="AF68" s="110"/>
      <c r="AG68" s="110"/>
      <c r="AH68" s="110"/>
      <c r="AI68" s="112"/>
      <c r="AJ68" s="111"/>
      <c r="AK68" s="111"/>
      <c r="AL68" s="111"/>
      <c r="AM68" s="111"/>
      <c r="AN68" s="111"/>
      <c r="AO68" s="111"/>
      <c r="AP68" s="59"/>
      <c r="AQ68" s="59"/>
      <c r="AR68" s="59"/>
      <c r="AS68" s="59"/>
      <c r="AT68" s="59"/>
      <c r="AU68" s="59"/>
      <c r="AV68" s="59"/>
      <c r="AW68" s="59"/>
    </row>
    <row r="69" spans="1:49" x14ac:dyDescent="0.2">
      <c r="A69" s="31"/>
      <c r="B69" s="67">
        <v>51</v>
      </c>
      <c r="C69" s="51">
        <v>4</v>
      </c>
      <c r="D69" s="55">
        <v>9</v>
      </c>
      <c r="E69" s="37">
        <v>2</v>
      </c>
      <c r="F69" s="37">
        <f t="shared" si="7"/>
        <v>1</v>
      </c>
      <c r="G69" s="37" cm="1">
        <f t="array" ref="G69">IF(E69&lt;=INDEX($B$4:$B$17,C69),1,0)</f>
        <v>1</v>
      </c>
      <c r="H69" s="55">
        <v>49</v>
      </c>
      <c r="I69" s="56">
        <v>151</v>
      </c>
      <c r="J69" s="55">
        <f t="shared" si="9"/>
        <v>276</v>
      </c>
      <c r="K69" s="55">
        <f t="shared" si="8"/>
        <v>378</v>
      </c>
      <c r="L69" s="55">
        <f t="shared" si="10"/>
        <v>0</v>
      </c>
      <c r="M69" s="55">
        <f t="shared" si="11"/>
        <v>49</v>
      </c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110"/>
      <c r="AD69" s="110"/>
      <c r="AE69" s="110"/>
      <c r="AF69" s="110"/>
      <c r="AG69" s="110"/>
      <c r="AH69" s="110"/>
      <c r="AI69" s="112"/>
      <c r="AJ69" s="111"/>
      <c r="AK69" s="111"/>
      <c r="AL69" s="111"/>
      <c r="AM69" s="111"/>
      <c r="AN69" s="111"/>
      <c r="AO69" s="111"/>
      <c r="AP69" s="59"/>
      <c r="AQ69" s="59"/>
      <c r="AR69" s="59"/>
      <c r="AS69" s="59"/>
      <c r="AT69" s="59"/>
      <c r="AU69" s="59"/>
      <c r="AV69" s="59"/>
      <c r="AW69" s="59"/>
    </row>
    <row r="70" spans="1:49" x14ac:dyDescent="0.2">
      <c r="A70" s="31"/>
      <c r="B70" s="70">
        <v>52</v>
      </c>
      <c r="C70" s="51">
        <v>4</v>
      </c>
      <c r="D70" s="55">
        <v>10</v>
      </c>
      <c r="E70" s="37">
        <v>3</v>
      </c>
      <c r="F70" s="37">
        <f t="shared" si="7"/>
        <v>1</v>
      </c>
      <c r="G70" s="37" cm="1">
        <f t="array" ref="G70">IF(E70&lt;=INDEX($B$4:$B$17,C70),1,0)</f>
        <v>1</v>
      </c>
      <c r="H70" s="55">
        <v>147</v>
      </c>
      <c r="I70" s="56">
        <v>131</v>
      </c>
      <c r="J70" s="55">
        <f t="shared" si="9"/>
        <v>378</v>
      </c>
      <c r="K70" s="55">
        <f t="shared" si="8"/>
        <v>362</v>
      </c>
      <c r="L70" s="55">
        <f t="shared" si="10"/>
        <v>0</v>
      </c>
      <c r="M70" s="55">
        <f t="shared" si="11"/>
        <v>147</v>
      </c>
      <c r="N70" s="31"/>
      <c r="O70" s="114" t="s">
        <v>158</v>
      </c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110"/>
      <c r="AD70" s="110"/>
      <c r="AE70" s="110"/>
      <c r="AF70" s="110"/>
      <c r="AG70" s="110"/>
      <c r="AH70" s="110"/>
      <c r="AI70" s="112"/>
      <c r="AJ70" s="111"/>
      <c r="AK70" s="111"/>
      <c r="AL70" s="111"/>
      <c r="AM70" s="111"/>
      <c r="AN70" s="111"/>
      <c r="AO70" s="111"/>
      <c r="AP70" s="59"/>
      <c r="AQ70" s="59"/>
      <c r="AR70" s="59"/>
      <c r="AS70" s="59"/>
      <c r="AT70" s="59"/>
      <c r="AU70" s="59"/>
      <c r="AV70" s="59"/>
      <c r="AW70" s="59"/>
    </row>
    <row r="71" spans="1:49" x14ac:dyDescent="0.2">
      <c r="A71" s="31"/>
      <c r="B71" s="67">
        <v>53</v>
      </c>
      <c r="C71" s="51">
        <v>4</v>
      </c>
      <c r="D71" s="55">
        <v>11</v>
      </c>
      <c r="E71" s="37">
        <v>4</v>
      </c>
      <c r="F71" s="37">
        <f t="shared" si="7"/>
        <v>1</v>
      </c>
      <c r="G71" s="37" cm="1">
        <f t="array" ref="G71">IF(E71&lt;=INDEX($B$4:$B$17,C71),1,0)</f>
        <v>1</v>
      </c>
      <c r="H71" s="55">
        <v>154</v>
      </c>
      <c r="I71" s="56">
        <v>125</v>
      </c>
      <c r="J71" s="55">
        <f t="shared" si="9"/>
        <v>362</v>
      </c>
      <c r="K71" s="55">
        <f t="shared" si="8"/>
        <v>333</v>
      </c>
      <c r="L71" s="55">
        <f t="shared" si="10"/>
        <v>0</v>
      </c>
      <c r="M71" s="55">
        <f t="shared" si="11"/>
        <v>154</v>
      </c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110"/>
      <c r="AD71" s="110"/>
      <c r="AE71" s="110"/>
      <c r="AF71" s="110"/>
      <c r="AG71" s="110"/>
      <c r="AH71" s="110"/>
      <c r="AI71" s="112"/>
      <c r="AJ71" s="111"/>
      <c r="AK71" s="111"/>
      <c r="AL71" s="111"/>
      <c r="AM71" s="111"/>
      <c r="AN71" s="111"/>
      <c r="AO71" s="111"/>
      <c r="AP71" s="59"/>
      <c r="AQ71" s="59"/>
      <c r="AR71" s="59"/>
      <c r="AS71" s="59"/>
      <c r="AT71" s="59"/>
      <c r="AU71" s="59"/>
      <c r="AV71" s="59"/>
      <c r="AW71" s="59"/>
    </row>
    <row r="72" spans="1:49" x14ac:dyDescent="0.2">
      <c r="A72" s="31"/>
      <c r="B72" s="70">
        <v>54</v>
      </c>
      <c r="C72" s="51">
        <v>4</v>
      </c>
      <c r="D72" s="55">
        <v>12</v>
      </c>
      <c r="E72" s="37">
        <v>5</v>
      </c>
      <c r="F72" s="37">
        <f t="shared" si="7"/>
        <v>1</v>
      </c>
      <c r="G72" s="37" cm="1">
        <f t="array" ref="G72">IF(E72&lt;=INDEX($B$4:$B$17,C72),1,0)</f>
        <v>0</v>
      </c>
      <c r="H72" s="55">
        <v>0</v>
      </c>
      <c r="I72" s="56">
        <v>99</v>
      </c>
      <c r="J72" s="55">
        <f t="shared" si="9"/>
        <v>333</v>
      </c>
      <c r="K72" s="55">
        <f t="shared" si="8"/>
        <v>432</v>
      </c>
      <c r="L72" s="55">
        <f t="shared" si="10"/>
        <v>0</v>
      </c>
      <c r="M72" s="55" t="str">
        <f t="shared" si="11"/>
        <v/>
      </c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110"/>
      <c r="AD72" s="110"/>
      <c r="AE72" s="110"/>
      <c r="AF72" s="110"/>
      <c r="AG72" s="110"/>
      <c r="AH72" s="110"/>
      <c r="AI72" s="112"/>
      <c r="AJ72" s="111"/>
      <c r="AK72" s="111"/>
      <c r="AL72" s="111"/>
      <c r="AM72" s="111"/>
      <c r="AN72" s="111"/>
      <c r="AO72" s="111"/>
      <c r="AP72" s="59"/>
      <c r="AQ72" s="59"/>
      <c r="AR72" s="59"/>
      <c r="AS72" s="59"/>
      <c r="AT72" s="59"/>
      <c r="AU72" s="59"/>
      <c r="AV72" s="59"/>
      <c r="AW72" s="59"/>
    </row>
    <row r="73" spans="1:49" x14ac:dyDescent="0.2">
      <c r="A73" s="31"/>
      <c r="B73" s="67">
        <v>55</v>
      </c>
      <c r="C73" s="51">
        <v>4</v>
      </c>
      <c r="D73" s="55">
        <v>13</v>
      </c>
      <c r="E73" s="37">
        <v>6</v>
      </c>
      <c r="F73" s="37">
        <f t="shared" si="7"/>
        <v>0</v>
      </c>
      <c r="G73" s="37" cm="1">
        <f t="array" ref="G73">IF(E73&lt;=INDEX($B$4:$B$17,C73),1,0)</f>
        <v>0</v>
      </c>
      <c r="H73" s="55">
        <v>0</v>
      </c>
      <c r="I73" s="56">
        <v>0</v>
      </c>
      <c r="J73" s="55">
        <f t="shared" si="9"/>
        <v>432</v>
      </c>
      <c r="K73" s="55">
        <f t="shared" si="8"/>
        <v>432</v>
      </c>
      <c r="L73" s="55">
        <f t="shared" si="10"/>
        <v>0</v>
      </c>
      <c r="M73" s="55" t="str">
        <f t="shared" si="11"/>
        <v/>
      </c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110"/>
      <c r="AD73" s="110"/>
      <c r="AE73" s="110"/>
      <c r="AF73" s="110"/>
      <c r="AG73" s="110"/>
      <c r="AH73" s="110"/>
      <c r="AI73" s="112"/>
      <c r="AJ73" s="111"/>
      <c r="AK73" s="111"/>
      <c r="AL73" s="111"/>
      <c r="AM73" s="111"/>
      <c r="AN73" s="111"/>
      <c r="AO73" s="111"/>
      <c r="AP73" s="59"/>
      <c r="AQ73" s="59"/>
      <c r="AR73" s="59"/>
      <c r="AS73" s="59"/>
      <c r="AT73" s="59"/>
      <c r="AU73" s="59"/>
      <c r="AV73" s="59"/>
      <c r="AW73" s="59"/>
    </row>
    <row r="74" spans="1:49" x14ac:dyDescent="0.2">
      <c r="A74" s="31"/>
      <c r="B74" s="70">
        <v>56</v>
      </c>
      <c r="C74" s="52">
        <v>4</v>
      </c>
      <c r="D74" s="57">
        <v>14</v>
      </c>
      <c r="E74" s="37">
        <v>7</v>
      </c>
      <c r="F74" s="37">
        <f t="shared" si="7"/>
        <v>0</v>
      </c>
      <c r="G74" s="37" cm="1">
        <f t="array" ref="G74">IF(E74&lt;=INDEX($B$4:$B$17,C74),1,0)</f>
        <v>0</v>
      </c>
      <c r="H74" s="57">
        <v>0</v>
      </c>
      <c r="I74" s="58">
        <v>0</v>
      </c>
      <c r="J74" s="55">
        <f t="shared" si="9"/>
        <v>432</v>
      </c>
      <c r="K74" s="55">
        <f t="shared" si="8"/>
        <v>432</v>
      </c>
      <c r="L74" s="55">
        <f t="shared" si="10"/>
        <v>0</v>
      </c>
      <c r="M74" s="55" t="str">
        <f t="shared" si="11"/>
        <v/>
      </c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110"/>
      <c r="AD74" s="110"/>
      <c r="AE74" s="110"/>
      <c r="AF74" s="110"/>
      <c r="AG74" s="110"/>
      <c r="AH74" s="110"/>
      <c r="AI74" s="112"/>
      <c r="AJ74" s="111"/>
      <c r="AK74" s="111"/>
      <c r="AL74" s="111"/>
      <c r="AM74" s="111"/>
      <c r="AN74" s="111"/>
      <c r="AO74" s="111"/>
      <c r="AP74" s="59"/>
      <c r="AQ74" s="59"/>
      <c r="AR74" s="59"/>
      <c r="AS74" s="59"/>
      <c r="AT74" s="59"/>
      <c r="AU74" s="59"/>
      <c r="AV74" s="59"/>
      <c r="AW74" s="59"/>
    </row>
    <row r="75" spans="1:49" x14ac:dyDescent="0.2">
      <c r="A75" s="31" t="s">
        <v>96</v>
      </c>
      <c r="B75" s="67">
        <v>57</v>
      </c>
      <c r="C75" s="50">
        <v>5</v>
      </c>
      <c r="D75" s="53">
        <v>1</v>
      </c>
      <c r="E75" s="35">
        <v>1</v>
      </c>
      <c r="F75" s="35">
        <f t="shared" si="7"/>
        <v>1</v>
      </c>
      <c r="G75" s="35" cm="1">
        <f t="array" ref="G75">IF(E75&lt;=INDEX($B$4:$B$17,C75),1,0)</f>
        <v>1</v>
      </c>
      <c r="H75" s="53">
        <v>128</v>
      </c>
      <c r="I75" s="54">
        <v>125</v>
      </c>
      <c r="J75" s="55">
        <f t="shared" si="9"/>
        <v>432</v>
      </c>
      <c r="K75" s="55">
        <f t="shared" si="8"/>
        <v>429</v>
      </c>
      <c r="L75" s="55">
        <f t="shared" si="10"/>
        <v>0</v>
      </c>
      <c r="M75" s="55">
        <f t="shared" si="11"/>
        <v>128</v>
      </c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110"/>
      <c r="AD75" s="110"/>
      <c r="AE75" s="110"/>
      <c r="AF75" s="110"/>
      <c r="AG75" s="110"/>
      <c r="AH75" s="110"/>
      <c r="AI75" s="112"/>
      <c r="AJ75" s="111"/>
      <c r="AK75" s="111"/>
      <c r="AL75" s="111"/>
      <c r="AM75" s="111"/>
      <c r="AN75" s="111"/>
      <c r="AO75" s="111"/>
      <c r="AP75" s="59"/>
      <c r="AQ75" s="59"/>
      <c r="AR75" s="59"/>
      <c r="AS75" s="59"/>
      <c r="AT75" s="59"/>
      <c r="AU75" s="59"/>
      <c r="AV75" s="59"/>
      <c r="AW75" s="59"/>
    </row>
    <row r="76" spans="1:49" x14ac:dyDescent="0.2">
      <c r="A76" s="31"/>
      <c r="B76" s="70">
        <v>58</v>
      </c>
      <c r="C76" s="51">
        <v>5</v>
      </c>
      <c r="D76" s="55">
        <v>2</v>
      </c>
      <c r="E76" s="37">
        <v>2</v>
      </c>
      <c r="F76" s="37">
        <f t="shared" si="7"/>
        <v>1</v>
      </c>
      <c r="G76" s="37" cm="1">
        <f t="array" ref="G76">IF(E76&lt;=INDEX($B$4:$B$17,C76),1,0)</f>
        <v>1</v>
      </c>
      <c r="H76" s="55">
        <v>137</v>
      </c>
      <c r="I76" s="56">
        <v>95</v>
      </c>
      <c r="J76" s="55">
        <f t="shared" si="9"/>
        <v>429</v>
      </c>
      <c r="K76" s="55">
        <f t="shared" si="8"/>
        <v>387</v>
      </c>
      <c r="L76" s="55">
        <f t="shared" si="10"/>
        <v>0</v>
      </c>
      <c r="M76" s="55">
        <f t="shared" si="11"/>
        <v>137</v>
      </c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110"/>
      <c r="AD76" s="110"/>
      <c r="AE76" s="110"/>
      <c r="AF76" s="110"/>
      <c r="AG76" s="110"/>
      <c r="AH76" s="110"/>
      <c r="AI76" s="112"/>
      <c r="AJ76" s="111"/>
      <c r="AK76" s="111"/>
      <c r="AL76" s="111"/>
      <c r="AM76" s="111"/>
      <c r="AN76" s="111"/>
      <c r="AO76" s="111"/>
      <c r="AP76" s="59"/>
      <c r="AQ76" s="59"/>
      <c r="AR76" s="59"/>
      <c r="AS76" s="59"/>
      <c r="AT76" s="59"/>
      <c r="AU76" s="59"/>
      <c r="AV76" s="59"/>
      <c r="AW76" s="59"/>
    </row>
    <row r="77" spans="1:49" x14ac:dyDescent="0.2">
      <c r="A77" s="31"/>
      <c r="B77" s="67">
        <v>59</v>
      </c>
      <c r="C77" s="51">
        <v>5</v>
      </c>
      <c r="D77" s="55">
        <v>3</v>
      </c>
      <c r="E77" s="37">
        <v>3</v>
      </c>
      <c r="F77" s="37">
        <f t="shared" si="7"/>
        <v>1</v>
      </c>
      <c r="G77" s="37" cm="1">
        <f t="array" ref="G77">IF(E77&lt;=INDEX($B$4:$B$17,C77),1,0)</f>
        <v>1</v>
      </c>
      <c r="H77" s="55">
        <v>135</v>
      </c>
      <c r="I77" s="56">
        <v>119</v>
      </c>
      <c r="J77" s="55">
        <f t="shared" si="9"/>
        <v>387</v>
      </c>
      <c r="K77" s="55">
        <f t="shared" si="8"/>
        <v>371</v>
      </c>
      <c r="L77" s="55">
        <f t="shared" si="10"/>
        <v>0</v>
      </c>
      <c r="M77" s="55">
        <f t="shared" si="11"/>
        <v>135</v>
      </c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110"/>
      <c r="AD77" s="110"/>
      <c r="AE77" s="110"/>
      <c r="AF77" s="110"/>
      <c r="AG77" s="110"/>
      <c r="AH77" s="110"/>
      <c r="AI77" s="112"/>
      <c r="AJ77" s="111"/>
      <c r="AK77" s="111"/>
      <c r="AL77" s="111"/>
      <c r="AM77" s="111"/>
      <c r="AN77" s="111"/>
      <c r="AO77" s="111"/>
      <c r="AP77" s="59"/>
      <c r="AQ77" s="59"/>
      <c r="AR77" s="59"/>
      <c r="AS77" s="59"/>
      <c r="AT77" s="59"/>
      <c r="AU77" s="59"/>
      <c r="AV77" s="59"/>
      <c r="AW77" s="59"/>
    </row>
    <row r="78" spans="1:49" x14ac:dyDescent="0.2">
      <c r="A78" s="31"/>
      <c r="B78" s="70">
        <v>60</v>
      </c>
      <c r="C78" s="51">
        <v>5</v>
      </c>
      <c r="D78" s="55">
        <v>4</v>
      </c>
      <c r="E78" s="37">
        <v>4</v>
      </c>
      <c r="F78" s="37">
        <f t="shared" si="7"/>
        <v>1</v>
      </c>
      <c r="G78" s="37" cm="1">
        <f t="array" ref="G78">IF(E78&lt;=INDEX($B$4:$B$17,C78),1,0)</f>
        <v>1</v>
      </c>
      <c r="H78" s="55">
        <v>144</v>
      </c>
      <c r="I78" s="56">
        <v>126</v>
      </c>
      <c r="J78" s="55">
        <f t="shared" si="9"/>
        <v>371</v>
      </c>
      <c r="K78" s="55">
        <f t="shared" si="8"/>
        <v>353</v>
      </c>
      <c r="L78" s="55">
        <f t="shared" si="10"/>
        <v>0</v>
      </c>
      <c r="M78" s="55">
        <f t="shared" si="11"/>
        <v>144</v>
      </c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110"/>
      <c r="AD78" s="110"/>
      <c r="AE78" s="110"/>
      <c r="AF78" s="110"/>
      <c r="AG78" s="110"/>
      <c r="AH78" s="110"/>
      <c r="AI78" s="112"/>
      <c r="AJ78" s="111"/>
      <c r="AK78" s="111"/>
      <c r="AL78" s="111"/>
      <c r="AM78" s="111"/>
      <c r="AN78" s="111"/>
      <c r="AO78" s="111"/>
      <c r="AP78" s="59"/>
      <c r="AQ78" s="59"/>
      <c r="AR78" s="59"/>
      <c r="AS78" s="59"/>
      <c r="AT78" s="59"/>
      <c r="AU78" s="59"/>
      <c r="AV78" s="59"/>
      <c r="AW78" s="59"/>
    </row>
    <row r="79" spans="1:49" x14ac:dyDescent="0.2">
      <c r="A79" s="31"/>
      <c r="B79" s="67">
        <v>61</v>
      </c>
      <c r="C79" s="51">
        <v>5</v>
      </c>
      <c r="D79" s="55">
        <v>5</v>
      </c>
      <c r="E79" s="37">
        <v>5</v>
      </c>
      <c r="F79" s="37">
        <f t="shared" si="7"/>
        <v>1</v>
      </c>
      <c r="G79" s="37" cm="1">
        <f t="array" ref="G79">IF(E79&lt;=INDEX($B$4:$B$17,C79),1,0)</f>
        <v>1</v>
      </c>
      <c r="H79" s="55">
        <v>148</v>
      </c>
      <c r="I79" s="56">
        <v>108</v>
      </c>
      <c r="J79" s="55">
        <f t="shared" si="9"/>
        <v>353</v>
      </c>
      <c r="K79" s="55">
        <f t="shared" si="8"/>
        <v>313</v>
      </c>
      <c r="L79" s="55">
        <f t="shared" si="10"/>
        <v>0</v>
      </c>
      <c r="M79" s="55">
        <f t="shared" si="11"/>
        <v>148</v>
      </c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110"/>
      <c r="AD79" s="110"/>
      <c r="AE79" s="110"/>
      <c r="AF79" s="110"/>
      <c r="AG79" s="110"/>
      <c r="AH79" s="110"/>
      <c r="AI79" s="112"/>
      <c r="AJ79" s="111"/>
      <c r="AK79" s="111"/>
      <c r="AL79" s="111"/>
      <c r="AM79" s="111"/>
      <c r="AN79" s="111"/>
      <c r="AO79" s="111"/>
      <c r="AP79" s="59"/>
      <c r="AQ79" s="59"/>
      <c r="AR79" s="59"/>
      <c r="AS79" s="59"/>
      <c r="AT79" s="59"/>
      <c r="AU79" s="59"/>
      <c r="AV79" s="59"/>
      <c r="AW79" s="59"/>
    </row>
    <row r="80" spans="1:49" x14ac:dyDescent="0.2">
      <c r="A80" s="31"/>
      <c r="B80" s="70">
        <v>62</v>
      </c>
      <c r="C80" s="51">
        <v>5</v>
      </c>
      <c r="D80" s="55">
        <v>6</v>
      </c>
      <c r="E80" s="37">
        <v>6</v>
      </c>
      <c r="F80" s="37">
        <f t="shared" si="7"/>
        <v>0</v>
      </c>
      <c r="G80" s="37" cm="1">
        <f t="array" ref="G80">IF(E80&lt;=INDEX($B$4:$B$17,C80),1,0)</f>
        <v>0</v>
      </c>
      <c r="H80" s="55">
        <v>0</v>
      </c>
      <c r="I80" s="56">
        <v>0</v>
      </c>
      <c r="J80" s="55">
        <f t="shared" si="9"/>
        <v>313</v>
      </c>
      <c r="K80" s="55">
        <f t="shared" si="8"/>
        <v>313</v>
      </c>
      <c r="L80" s="55">
        <f t="shared" si="10"/>
        <v>0</v>
      </c>
      <c r="M80" s="55" t="str">
        <f t="shared" si="11"/>
        <v/>
      </c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110"/>
      <c r="AD80" s="110"/>
      <c r="AE80" s="110"/>
      <c r="AF80" s="110"/>
      <c r="AG80" s="110"/>
      <c r="AH80" s="110"/>
      <c r="AI80" s="112"/>
      <c r="AJ80" s="111"/>
      <c r="AK80" s="111"/>
      <c r="AL80" s="111"/>
      <c r="AM80" s="111"/>
      <c r="AN80" s="111"/>
      <c r="AO80" s="111"/>
      <c r="AP80" s="59"/>
      <c r="AQ80" s="59"/>
      <c r="AR80" s="59"/>
      <c r="AS80" s="59"/>
      <c r="AT80" s="59"/>
      <c r="AU80" s="59"/>
      <c r="AV80" s="59"/>
      <c r="AW80" s="59"/>
    </row>
    <row r="81" spans="1:49" x14ac:dyDescent="0.2">
      <c r="A81" s="31"/>
      <c r="B81" s="67">
        <v>63</v>
      </c>
      <c r="C81" s="51">
        <v>5</v>
      </c>
      <c r="D81" s="55">
        <v>7</v>
      </c>
      <c r="E81" s="37">
        <v>7</v>
      </c>
      <c r="F81" s="37">
        <f t="shared" si="7"/>
        <v>0</v>
      </c>
      <c r="G81" s="37" cm="1">
        <f t="array" ref="G81">IF(E81&lt;=INDEX($B$4:$B$17,C81),1,0)</f>
        <v>0</v>
      </c>
      <c r="H81" s="55">
        <v>0</v>
      </c>
      <c r="I81" s="56">
        <v>0</v>
      </c>
      <c r="J81" s="55">
        <f t="shared" si="9"/>
        <v>313</v>
      </c>
      <c r="K81" s="55">
        <f t="shared" si="8"/>
        <v>313</v>
      </c>
      <c r="L81" s="55">
        <f t="shared" si="10"/>
        <v>0</v>
      </c>
      <c r="M81" s="55" t="str">
        <f t="shared" si="11"/>
        <v/>
      </c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110"/>
      <c r="AD81" s="110"/>
      <c r="AE81" s="110"/>
      <c r="AF81" s="110"/>
      <c r="AG81" s="110"/>
      <c r="AH81" s="110"/>
      <c r="AI81" s="112"/>
      <c r="AJ81" s="111"/>
      <c r="AK81" s="111"/>
      <c r="AL81" s="111"/>
      <c r="AM81" s="111"/>
      <c r="AN81" s="111"/>
      <c r="AO81" s="111"/>
      <c r="AP81" s="59"/>
      <c r="AQ81" s="59"/>
      <c r="AR81" s="59"/>
      <c r="AS81" s="59"/>
      <c r="AT81" s="59"/>
      <c r="AU81" s="59"/>
      <c r="AV81" s="59"/>
      <c r="AW81" s="59"/>
    </row>
    <row r="82" spans="1:49" x14ac:dyDescent="0.2">
      <c r="A82" s="31"/>
      <c r="B82" s="70">
        <v>64</v>
      </c>
      <c r="C82" s="51">
        <v>5</v>
      </c>
      <c r="D82" s="55">
        <v>8</v>
      </c>
      <c r="E82" s="35">
        <v>1</v>
      </c>
      <c r="F82" s="35">
        <f t="shared" si="7"/>
        <v>1</v>
      </c>
      <c r="G82" s="37" cm="1">
        <f t="array" ref="G82">IF(E82&lt;=INDEX($B$4:$B$17,C82),1,0)</f>
        <v>1</v>
      </c>
      <c r="H82" s="55">
        <v>151</v>
      </c>
      <c r="I82" s="56">
        <v>168</v>
      </c>
      <c r="J82" s="55">
        <f t="shared" si="9"/>
        <v>313</v>
      </c>
      <c r="K82" s="55">
        <f t="shared" si="8"/>
        <v>330</v>
      </c>
      <c r="L82" s="55">
        <f t="shared" si="10"/>
        <v>0</v>
      </c>
      <c r="M82" s="55">
        <f t="shared" si="11"/>
        <v>151</v>
      </c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110"/>
      <c r="AD82" s="110"/>
      <c r="AE82" s="110"/>
      <c r="AF82" s="110"/>
      <c r="AG82" s="110"/>
      <c r="AH82" s="110"/>
      <c r="AI82" s="112"/>
      <c r="AJ82" s="111"/>
      <c r="AK82" s="111"/>
      <c r="AL82" s="111"/>
      <c r="AM82" s="111"/>
      <c r="AN82" s="111"/>
      <c r="AO82" s="111"/>
      <c r="AP82" s="59"/>
      <c r="AQ82" s="59"/>
      <c r="AR82" s="59"/>
      <c r="AS82" s="59"/>
      <c r="AT82" s="59"/>
      <c r="AU82" s="59"/>
      <c r="AV82" s="59"/>
      <c r="AW82" s="59"/>
    </row>
    <row r="83" spans="1:49" x14ac:dyDescent="0.2">
      <c r="A83" s="31"/>
      <c r="B83" s="67">
        <v>65</v>
      </c>
      <c r="C83" s="51">
        <v>5</v>
      </c>
      <c r="D83" s="55">
        <v>9</v>
      </c>
      <c r="E83" s="37">
        <v>2</v>
      </c>
      <c r="F83" s="37">
        <f t="shared" si="7"/>
        <v>1</v>
      </c>
      <c r="G83" s="37" cm="1">
        <f t="array" ref="G83">IF(E83&lt;=INDEX($B$4:$B$17,C83),1,0)</f>
        <v>1</v>
      </c>
      <c r="H83" s="55">
        <v>161</v>
      </c>
      <c r="I83" s="56">
        <v>160</v>
      </c>
      <c r="J83" s="55">
        <f t="shared" si="9"/>
        <v>330</v>
      </c>
      <c r="K83" s="55">
        <f t="shared" si="8"/>
        <v>329</v>
      </c>
      <c r="L83" s="55">
        <f t="shared" si="10"/>
        <v>0</v>
      </c>
      <c r="M83" s="55">
        <f t="shared" si="11"/>
        <v>161</v>
      </c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110"/>
      <c r="AD83" s="110"/>
      <c r="AE83" s="110"/>
      <c r="AF83" s="110"/>
      <c r="AG83" s="110"/>
      <c r="AH83" s="110"/>
      <c r="AI83" s="112"/>
      <c r="AJ83" s="111"/>
      <c r="AK83" s="111"/>
      <c r="AL83" s="111"/>
      <c r="AM83" s="111"/>
      <c r="AN83" s="111"/>
      <c r="AO83" s="111"/>
      <c r="AP83" s="59"/>
      <c r="AQ83" s="59"/>
      <c r="AR83" s="59"/>
      <c r="AS83" s="59"/>
      <c r="AT83" s="59"/>
      <c r="AU83" s="59"/>
      <c r="AV83" s="59"/>
      <c r="AW83" s="59"/>
    </row>
    <row r="84" spans="1:49" x14ac:dyDescent="0.2">
      <c r="A84" s="31"/>
      <c r="B84" s="70">
        <v>66</v>
      </c>
      <c r="C84" s="51">
        <v>5</v>
      </c>
      <c r="D84" s="55">
        <v>10</v>
      </c>
      <c r="E84" s="37">
        <v>3</v>
      </c>
      <c r="F84" s="37">
        <f t="shared" ref="F84:F147" si="16">IF(I84&gt;0,1,0)</f>
        <v>1</v>
      </c>
      <c r="G84" s="37" cm="1">
        <f t="array" ref="G84">IF(E84&lt;=INDEX($B$4:$B$17,C84),1,0)</f>
        <v>1</v>
      </c>
      <c r="H84" s="55">
        <v>152</v>
      </c>
      <c r="I84" s="56">
        <v>172</v>
      </c>
      <c r="J84" s="55">
        <f t="shared" si="9"/>
        <v>329</v>
      </c>
      <c r="K84" s="55">
        <f t="shared" ref="K84:K147" si="17">J84+I84-H84</f>
        <v>349</v>
      </c>
      <c r="L84" s="55">
        <f t="shared" si="10"/>
        <v>0</v>
      </c>
      <c r="M84" s="55">
        <f t="shared" si="11"/>
        <v>152</v>
      </c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110"/>
      <c r="AD84" s="110"/>
      <c r="AE84" s="110"/>
      <c r="AF84" s="110"/>
      <c r="AG84" s="110"/>
      <c r="AH84" s="110"/>
      <c r="AI84" s="112"/>
      <c r="AJ84" s="111"/>
      <c r="AK84" s="111"/>
      <c r="AL84" s="111"/>
      <c r="AM84" s="111"/>
      <c r="AN84" s="111"/>
      <c r="AO84" s="111"/>
      <c r="AP84" s="59"/>
      <c r="AQ84" s="59"/>
      <c r="AR84" s="59"/>
      <c r="AS84" s="59"/>
      <c r="AT84" s="59"/>
      <c r="AU84" s="59"/>
      <c r="AV84" s="59"/>
      <c r="AW84" s="59"/>
    </row>
    <row r="85" spans="1:49" x14ac:dyDescent="0.2">
      <c r="A85" s="31"/>
      <c r="B85" s="67">
        <v>67</v>
      </c>
      <c r="C85" s="51">
        <v>5</v>
      </c>
      <c r="D85" s="55">
        <v>11</v>
      </c>
      <c r="E85" s="37">
        <v>4</v>
      </c>
      <c r="F85" s="37">
        <f t="shared" si="16"/>
        <v>1</v>
      </c>
      <c r="G85" s="37" cm="1">
        <f t="array" ref="G85">IF(E85&lt;=INDEX($B$4:$B$17,C85),1,0)</f>
        <v>1</v>
      </c>
      <c r="H85" s="55">
        <v>149</v>
      </c>
      <c r="I85" s="56">
        <v>178</v>
      </c>
      <c r="J85" s="55">
        <f t="shared" ref="J85:J148" si="18">K84</f>
        <v>349</v>
      </c>
      <c r="K85" s="55">
        <f t="shared" si="17"/>
        <v>378</v>
      </c>
      <c r="L85" s="55">
        <f t="shared" ref="L85:L148" si="19">IF(AND(H85=J85,G85),1,0)</f>
        <v>0</v>
      </c>
      <c r="M85" s="55">
        <f t="shared" ref="M85:M148" si="20">IF(OR(G85=0,L85=1),"",H85)</f>
        <v>149</v>
      </c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110"/>
      <c r="AD85" s="110"/>
      <c r="AE85" s="110"/>
      <c r="AF85" s="110"/>
      <c r="AG85" s="110"/>
      <c r="AH85" s="110"/>
      <c r="AI85" s="112"/>
      <c r="AJ85" s="111"/>
      <c r="AK85" s="111"/>
      <c r="AL85" s="111"/>
      <c r="AM85" s="111"/>
      <c r="AN85" s="111"/>
      <c r="AO85" s="111"/>
      <c r="AP85" s="59"/>
      <c r="AQ85" s="59"/>
      <c r="AR85" s="59"/>
      <c r="AS85" s="59"/>
      <c r="AT85" s="59"/>
      <c r="AU85" s="59"/>
      <c r="AV85" s="59"/>
      <c r="AW85" s="59"/>
    </row>
    <row r="86" spans="1:49" x14ac:dyDescent="0.2">
      <c r="A86" s="31"/>
      <c r="B86" s="70">
        <v>68</v>
      </c>
      <c r="C86" s="51">
        <v>5</v>
      </c>
      <c r="D86" s="55">
        <v>12</v>
      </c>
      <c r="E86" s="37">
        <v>5</v>
      </c>
      <c r="F86" s="37">
        <f t="shared" si="16"/>
        <v>1</v>
      </c>
      <c r="G86" s="37" cm="1">
        <f t="array" ref="G86">IF(E86&lt;=INDEX($B$4:$B$17,C86),1,0)</f>
        <v>1</v>
      </c>
      <c r="H86" s="55">
        <v>142</v>
      </c>
      <c r="I86" s="56">
        <v>144</v>
      </c>
      <c r="J86" s="55">
        <f t="shared" si="18"/>
        <v>378</v>
      </c>
      <c r="K86" s="55">
        <f t="shared" si="17"/>
        <v>380</v>
      </c>
      <c r="L86" s="55">
        <f t="shared" si="19"/>
        <v>0</v>
      </c>
      <c r="M86" s="55">
        <f t="shared" si="20"/>
        <v>142</v>
      </c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110"/>
      <c r="AD86" s="110"/>
      <c r="AE86" s="110"/>
      <c r="AF86" s="110"/>
      <c r="AG86" s="110"/>
      <c r="AH86" s="110"/>
      <c r="AI86" s="112"/>
      <c r="AJ86" s="111"/>
      <c r="AK86" s="111"/>
      <c r="AL86" s="111"/>
      <c r="AM86" s="111"/>
      <c r="AN86" s="111"/>
      <c r="AO86" s="111"/>
      <c r="AP86" s="59"/>
      <c r="AQ86" s="59"/>
      <c r="AR86" s="59"/>
      <c r="AS86" s="59"/>
      <c r="AT86" s="59"/>
      <c r="AU86" s="59"/>
      <c r="AV86" s="59"/>
      <c r="AW86" s="59"/>
    </row>
    <row r="87" spans="1:49" x14ac:dyDescent="0.2">
      <c r="A87" s="31"/>
      <c r="B87" s="67">
        <v>69</v>
      </c>
      <c r="C87" s="51">
        <v>5</v>
      </c>
      <c r="D87" s="55">
        <v>13</v>
      </c>
      <c r="E87" s="37">
        <v>6</v>
      </c>
      <c r="F87" s="37">
        <f t="shared" si="16"/>
        <v>0</v>
      </c>
      <c r="G87" s="37" cm="1">
        <f t="array" ref="G87">IF(E87&lt;=INDEX($B$4:$B$17,C87),1,0)</f>
        <v>0</v>
      </c>
      <c r="H87" s="55">
        <v>0</v>
      </c>
      <c r="I87" s="56">
        <v>0</v>
      </c>
      <c r="J87" s="55">
        <f t="shared" si="18"/>
        <v>380</v>
      </c>
      <c r="K87" s="55">
        <f t="shared" si="17"/>
        <v>380</v>
      </c>
      <c r="L87" s="55">
        <f t="shared" si="19"/>
        <v>0</v>
      </c>
      <c r="M87" s="55" t="str">
        <f t="shared" si="20"/>
        <v/>
      </c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110"/>
      <c r="AD87" s="110"/>
      <c r="AE87" s="110"/>
      <c r="AF87" s="110"/>
      <c r="AG87" s="110"/>
      <c r="AH87" s="110"/>
      <c r="AI87" s="112"/>
      <c r="AJ87" s="111"/>
      <c r="AK87" s="111"/>
      <c r="AL87" s="111"/>
      <c r="AM87" s="111"/>
      <c r="AN87" s="111"/>
      <c r="AO87" s="111"/>
      <c r="AP87" s="59"/>
      <c r="AQ87" s="59"/>
      <c r="AR87" s="59"/>
      <c r="AS87" s="59"/>
      <c r="AT87" s="59"/>
      <c r="AU87" s="59"/>
      <c r="AV87" s="59"/>
      <c r="AW87" s="59"/>
    </row>
    <row r="88" spans="1:49" x14ac:dyDescent="0.2">
      <c r="A88" s="31"/>
      <c r="B88" s="70">
        <v>70</v>
      </c>
      <c r="C88" s="52">
        <v>5</v>
      </c>
      <c r="D88" s="57">
        <v>14</v>
      </c>
      <c r="E88" s="37">
        <v>7</v>
      </c>
      <c r="F88" s="37">
        <f t="shared" si="16"/>
        <v>0</v>
      </c>
      <c r="G88" s="37" cm="1">
        <f t="array" ref="G88">IF(E88&lt;=INDEX($B$4:$B$17,C88),1,0)</f>
        <v>0</v>
      </c>
      <c r="H88" s="57">
        <v>0</v>
      </c>
      <c r="I88" s="58">
        <v>0</v>
      </c>
      <c r="J88" s="55">
        <f t="shared" si="18"/>
        <v>380</v>
      </c>
      <c r="K88" s="55">
        <f t="shared" si="17"/>
        <v>380</v>
      </c>
      <c r="L88" s="55">
        <f t="shared" si="19"/>
        <v>0</v>
      </c>
      <c r="M88" s="55" t="str">
        <f t="shared" si="20"/>
        <v/>
      </c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110"/>
      <c r="AD88" s="110"/>
      <c r="AE88" s="110"/>
      <c r="AF88" s="110"/>
      <c r="AG88" s="110"/>
      <c r="AH88" s="110"/>
      <c r="AI88" s="112"/>
      <c r="AJ88" s="111"/>
      <c r="AK88" s="111"/>
      <c r="AL88" s="111"/>
      <c r="AM88" s="111"/>
      <c r="AN88" s="111"/>
      <c r="AO88" s="111"/>
      <c r="AP88" s="59"/>
      <c r="AQ88" s="59"/>
      <c r="AR88" s="59"/>
      <c r="AS88" s="59"/>
      <c r="AT88" s="59"/>
      <c r="AU88" s="59"/>
      <c r="AV88" s="59"/>
      <c r="AW88" s="59"/>
    </row>
    <row r="89" spans="1:49" x14ac:dyDescent="0.2">
      <c r="A89" s="31" t="s">
        <v>95</v>
      </c>
      <c r="B89" s="67">
        <v>71</v>
      </c>
      <c r="C89" s="50">
        <v>6</v>
      </c>
      <c r="D89" s="53">
        <v>1</v>
      </c>
      <c r="E89" s="35">
        <v>1</v>
      </c>
      <c r="F89" s="35">
        <f t="shared" si="16"/>
        <v>1</v>
      </c>
      <c r="G89" s="35" cm="1">
        <f t="array" ref="G89">IF(E89&lt;=INDEX($B$4:$B$17,C89),1,0)</f>
        <v>1</v>
      </c>
      <c r="H89" s="53">
        <v>144</v>
      </c>
      <c r="I89" s="54">
        <v>172</v>
      </c>
      <c r="J89" s="55">
        <f t="shared" si="18"/>
        <v>380</v>
      </c>
      <c r="K89" s="55">
        <f t="shared" si="17"/>
        <v>408</v>
      </c>
      <c r="L89" s="55">
        <f t="shared" si="19"/>
        <v>0</v>
      </c>
      <c r="M89" s="55">
        <f t="shared" si="20"/>
        <v>144</v>
      </c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110"/>
      <c r="AD89" s="110"/>
      <c r="AE89" s="110"/>
      <c r="AF89" s="110"/>
      <c r="AG89" s="110"/>
      <c r="AH89" s="110"/>
      <c r="AI89" s="112"/>
      <c r="AJ89" s="111"/>
      <c r="AK89" s="111"/>
      <c r="AL89" s="111"/>
      <c r="AM89" s="111"/>
      <c r="AN89" s="111"/>
      <c r="AO89" s="111"/>
      <c r="AP89" s="59"/>
      <c r="AQ89" s="59"/>
      <c r="AR89" s="59"/>
      <c r="AS89" s="59"/>
      <c r="AT89" s="59"/>
      <c r="AU89" s="59"/>
      <c r="AV89" s="59"/>
      <c r="AW89" s="59"/>
    </row>
    <row r="90" spans="1:49" x14ac:dyDescent="0.2">
      <c r="A90" s="31"/>
      <c r="B90" s="70">
        <v>72</v>
      </c>
      <c r="C90" s="51">
        <v>6</v>
      </c>
      <c r="D90" s="55">
        <v>2</v>
      </c>
      <c r="E90" s="37">
        <v>2</v>
      </c>
      <c r="F90" s="37">
        <f t="shared" si="16"/>
        <v>1</v>
      </c>
      <c r="G90" s="37" cm="1">
        <f t="array" ref="G90">IF(E90&lt;=INDEX($B$4:$B$17,C90),1,0)</f>
        <v>1</v>
      </c>
      <c r="H90" s="55">
        <v>133</v>
      </c>
      <c r="I90" s="56">
        <v>168</v>
      </c>
      <c r="J90" s="55">
        <f t="shared" si="18"/>
        <v>408</v>
      </c>
      <c r="K90" s="55">
        <f t="shared" si="17"/>
        <v>443</v>
      </c>
      <c r="L90" s="55">
        <f t="shared" si="19"/>
        <v>0</v>
      </c>
      <c r="M90" s="55">
        <f t="shared" si="20"/>
        <v>133</v>
      </c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110"/>
      <c r="AD90" s="110"/>
      <c r="AE90" s="110"/>
      <c r="AF90" s="110"/>
      <c r="AG90" s="110"/>
      <c r="AH90" s="110"/>
      <c r="AI90" s="112"/>
      <c r="AJ90" s="111"/>
      <c r="AK90" s="111"/>
      <c r="AL90" s="111"/>
      <c r="AM90" s="111"/>
      <c r="AN90" s="111"/>
      <c r="AO90" s="111"/>
      <c r="AP90" s="59"/>
      <c r="AQ90" s="59"/>
      <c r="AR90" s="59"/>
      <c r="AS90" s="59"/>
      <c r="AT90" s="59"/>
      <c r="AU90" s="59"/>
      <c r="AV90" s="59"/>
      <c r="AW90" s="59"/>
    </row>
    <row r="91" spans="1:49" x14ac:dyDescent="0.2">
      <c r="A91" s="31"/>
      <c r="B91" s="67">
        <v>73</v>
      </c>
      <c r="C91" s="51">
        <v>6</v>
      </c>
      <c r="D91" s="55">
        <v>3</v>
      </c>
      <c r="E91" s="37">
        <v>3</v>
      </c>
      <c r="F91" s="37">
        <f t="shared" si="16"/>
        <v>1</v>
      </c>
      <c r="G91" s="37" cm="1">
        <f t="array" ref="G91">IF(E91&lt;=INDEX($B$4:$B$17,C91),1,0)</f>
        <v>1</v>
      </c>
      <c r="H91" s="55">
        <v>143</v>
      </c>
      <c r="I91" s="56">
        <v>123</v>
      </c>
      <c r="J91" s="55">
        <f t="shared" si="18"/>
        <v>443</v>
      </c>
      <c r="K91" s="55">
        <f t="shared" si="17"/>
        <v>423</v>
      </c>
      <c r="L91" s="55">
        <f t="shared" si="19"/>
        <v>0</v>
      </c>
      <c r="M91" s="55">
        <f t="shared" si="20"/>
        <v>143</v>
      </c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110"/>
      <c r="AD91" s="110"/>
      <c r="AE91" s="110"/>
      <c r="AF91" s="110"/>
      <c r="AG91" s="110"/>
      <c r="AH91" s="110"/>
      <c r="AI91" s="112"/>
      <c r="AJ91" s="111"/>
      <c r="AK91" s="111"/>
      <c r="AL91" s="111"/>
      <c r="AM91" s="111"/>
      <c r="AN91" s="111"/>
      <c r="AO91" s="111"/>
      <c r="AP91" s="59"/>
      <c r="AQ91" s="59"/>
      <c r="AR91" s="59"/>
      <c r="AS91" s="59"/>
      <c r="AT91" s="59"/>
      <c r="AU91" s="59"/>
      <c r="AV91" s="59"/>
      <c r="AW91" s="59"/>
    </row>
    <row r="92" spans="1:49" x14ac:dyDescent="0.2">
      <c r="A92" s="31"/>
      <c r="B92" s="70">
        <v>74</v>
      </c>
      <c r="C92" s="51">
        <v>6</v>
      </c>
      <c r="D92" s="55">
        <v>4</v>
      </c>
      <c r="E92" s="37">
        <v>4</v>
      </c>
      <c r="F92" s="37">
        <f t="shared" si="16"/>
        <v>1</v>
      </c>
      <c r="G92" s="37" cm="1">
        <f t="array" ref="G92">IF(E92&lt;=INDEX($B$4:$B$17,C92),1,0)</f>
        <v>1</v>
      </c>
      <c r="H92" s="55">
        <v>139</v>
      </c>
      <c r="I92" s="56">
        <v>162</v>
      </c>
      <c r="J92" s="55">
        <f t="shared" si="18"/>
        <v>423</v>
      </c>
      <c r="K92" s="55">
        <f t="shared" si="17"/>
        <v>446</v>
      </c>
      <c r="L92" s="55">
        <f t="shared" si="19"/>
        <v>0</v>
      </c>
      <c r="M92" s="55">
        <f t="shared" si="20"/>
        <v>139</v>
      </c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110"/>
      <c r="AD92" s="110"/>
      <c r="AE92" s="110"/>
      <c r="AF92" s="110"/>
      <c r="AG92" s="110"/>
      <c r="AH92" s="110"/>
      <c r="AI92" s="112"/>
      <c r="AJ92" s="111"/>
      <c r="AK92" s="111"/>
      <c r="AL92" s="111"/>
      <c r="AM92" s="111"/>
      <c r="AN92" s="111"/>
      <c r="AO92" s="111"/>
      <c r="AP92" s="59"/>
      <c r="AQ92" s="59"/>
      <c r="AR92" s="59"/>
      <c r="AS92" s="59"/>
      <c r="AT92" s="59"/>
      <c r="AU92" s="59"/>
      <c r="AV92" s="59"/>
      <c r="AW92" s="59"/>
    </row>
    <row r="93" spans="1:49" x14ac:dyDescent="0.2">
      <c r="A93" s="31"/>
      <c r="B93" s="67">
        <v>75</v>
      </c>
      <c r="C93" s="51">
        <v>6</v>
      </c>
      <c r="D93" s="55">
        <v>5</v>
      </c>
      <c r="E93" s="37">
        <v>5</v>
      </c>
      <c r="F93" s="37">
        <f t="shared" si="16"/>
        <v>1</v>
      </c>
      <c r="G93" s="37" cm="1">
        <f t="array" ref="G93">IF(E93&lt;=INDEX($B$4:$B$17,C93),1,0)</f>
        <v>1</v>
      </c>
      <c r="H93" s="55">
        <v>147</v>
      </c>
      <c r="I93" s="56">
        <v>119</v>
      </c>
      <c r="J93" s="55">
        <f t="shared" si="18"/>
        <v>446</v>
      </c>
      <c r="K93" s="55">
        <f t="shared" si="17"/>
        <v>418</v>
      </c>
      <c r="L93" s="55">
        <f t="shared" si="19"/>
        <v>0</v>
      </c>
      <c r="M93" s="55">
        <f t="shared" si="20"/>
        <v>147</v>
      </c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110"/>
      <c r="AD93" s="110"/>
      <c r="AE93" s="110"/>
      <c r="AF93" s="110"/>
      <c r="AG93" s="110"/>
      <c r="AH93" s="110"/>
      <c r="AI93" s="112"/>
      <c r="AJ93" s="111"/>
      <c r="AK93" s="111"/>
      <c r="AL93" s="111"/>
      <c r="AM93" s="111"/>
      <c r="AN93" s="111"/>
      <c r="AO93" s="111"/>
      <c r="AP93" s="59"/>
      <c r="AQ93" s="59"/>
      <c r="AR93" s="59"/>
      <c r="AS93" s="59"/>
      <c r="AT93" s="59"/>
      <c r="AU93" s="59"/>
      <c r="AV93" s="59"/>
      <c r="AW93" s="59"/>
    </row>
    <row r="94" spans="1:49" x14ac:dyDescent="0.2">
      <c r="A94" s="31"/>
      <c r="B94" s="70">
        <v>76</v>
      </c>
      <c r="C94" s="51">
        <v>6</v>
      </c>
      <c r="D94" s="55">
        <v>6</v>
      </c>
      <c r="E94" s="37">
        <v>6</v>
      </c>
      <c r="F94" s="37">
        <f t="shared" si="16"/>
        <v>0</v>
      </c>
      <c r="G94" s="37" cm="1">
        <f t="array" ref="G94">IF(E94&lt;=INDEX($B$4:$B$17,C94),1,0)</f>
        <v>0</v>
      </c>
      <c r="H94" s="55">
        <v>0</v>
      </c>
      <c r="I94" s="56">
        <v>0</v>
      </c>
      <c r="J94" s="55">
        <f t="shared" si="18"/>
        <v>418</v>
      </c>
      <c r="K94" s="55">
        <f t="shared" si="17"/>
        <v>418</v>
      </c>
      <c r="L94" s="55">
        <f t="shared" si="19"/>
        <v>0</v>
      </c>
      <c r="M94" s="55" t="str">
        <f t="shared" si="20"/>
        <v/>
      </c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110"/>
      <c r="AD94" s="110"/>
      <c r="AE94" s="110"/>
      <c r="AF94" s="110"/>
      <c r="AG94" s="110"/>
      <c r="AH94" s="110"/>
      <c r="AI94" s="112"/>
      <c r="AJ94" s="111"/>
      <c r="AK94" s="111"/>
      <c r="AL94" s="111"/>
      <c r="AM94" s="111"/>
      <c r="AN94" s="111"/>
      <c r="AO94" s="111"/>
      <c r="AP94" s="59"/>
      <c r="AQ94" s="59"/>
      <c r="AR94" s="59"/>
      <c r="AS94" s="59"/>
      <c r="AT94" s="59"/>
      <c r="AU94" s="59"/>
      <c r="AV94" s="59"/>
      <c r="AW94" s="59"/>
    </row>
    <row r="95" spans="1:49" x14ac:dyDescent="0.2">
      <c r="A95" s="31"/>
      <c r="B95" s="67">
        <v>77</v>
      </c>
      <c r="C95" s="51">
        <v>6</v>
      </c>
      <c r="D95" s="55">
        <v>7</v>
      </c>
      <c r="E95" s="37">
        <v>7</v>
      </c>
      <c r="F95" s="37">
        <f t="shared" si="16"/>
        <v>0</v>
      </c>
      <c r="G95" s="37" cm="1">
        <f t="array" ref="G95">IF(E95&lt;=INDEX($B$4:$B$17,C95),1,0)</f>
        <v>0</v>
      </c>
      <c r="H95" s="55">
        <v>0</v>
      </c>
      <c r="I95" s="56">
        <v>0</v>
      </c>
      <c r="J95" s="55">
        <f t="shared" si="18"/>
        <v>418</v>
      </c>
      <c r="K95" s="55">
        <f t="shared" si="17"/>
        <v>418</v>
      </c>
      <c r="L95" s="55">
        <f t="shared" si="19"/>
        <v>0</v>
      </c>
      <c r="M95" s="55" t="str">
        <f t="shared" si="20"/>
        <v/>
      </c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110"/>
      <c r="AD95" s="110"/>
      <c r="AE95" s="110"/>
      <c r="AF95" s="110"/>
      <c r="AG95" s="110"/>
      <c r="AH95" s="110"/>
      <c r="AI95" s="112"/>
      <c r="AJ95" s="111"/>
      <c r="AK95" s="111"/>
      <c r="AL95" s="111"/>
      <c r="AM95" s="111"/>
      <c r="AN95" s="111"/>
      <c r="AO95" s="111"/>
      <c r="AP95" s="59"/>
      <c r="AQ95" s="59"/>
      <c r="AR95" s="59"/>
      <c r="AS95" s="59"/>
      <c r="AT95" s="59"/>
      <c r="AU95" s="59"/>
      <c r="AV95" s="59"/>
      <c r="AW95" s="59"/>
    </row>
    <row r="96" spans="1:49" x14ac:dyDescent="0.2">
      <c r="A96" s="31"/>
      <c r="B96" s="70">
        <v>78</v>
      </c>
      <c r="C96" s="51">
        <v>6</v>
      </c>
      <c r="D96" s="55">
        <v>8</v>
      </c>
      <c r="E96" s="35">
        <v>1</v>
      </c>
      <c r="F96" s="35">
        <f t="shared" si="16"/>
        <v>1</v>
      </c>
      <c r="G96" s="37" cm="1">
        <f t="array" ref="G96">IF(E96&lt;=INDEX($B$4:$B$17,C96),1,0)</f>
        <v>1</v>
      </c>
      <c r="H96" s="55">
        <v>149</v>
      </c>
      <c r="I96" s="56">
        <v>147</v>
      </c>
      <c r="J96" s="55">
        <f t="shared" si="18"/>
        <v>418</v>
      </c>
      <c r="K96" s="55">
        <f t="shared" si="17"/>
        <v>416</v>
      </c>
      <c r="L96" s="55">
        <f t="shared" si="19"/>
        <v>0</v>
      </c>
      <c r="M96" s="55">
        <f t="shared" si="20"/>
        <v>149</v>
      </c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110"/>
      <c r="AD96" s="110"/>
      <c r="AE96" s="110"/>
      <c r="AF96" s="110"/>
      <c r="AG96" s="110"/>
      <c r="AH96" s="110"/>
      <c r="AI96" s="112"/>
      <c r="AJ96" s="111"/>
      <c r="AK96" s="111"/>
      <c r="AL96" s="111"/>
      <c r="AM96" s="111"/>
      <c r="AN96" s="111"/>
      <c r="AO96" s="111"/>
      <c r="AP96" s="59"/>
      <c r="AQ96" s="59"/>
      <c r="AR96" s="59"/>
      <c r="AS96" s="59"/>
      <c r="AT96" s="59"/>
      <c r="AU96" s="59"/>
      <c r="AV96" s="59"/>
      <c r="AW96" s="59"/>
    </row>
    <row r="97" spans="1:49" x14ac:dyDescent="0.2">
      <c r="A97" s="31"/>
      <c r="B97" s="67">
        <v>79</v>
      </c>
      <c r="C97" s="51">
        <v>6</v>
      </c>
      <c r="D97" s="55">
        <v>9</v>
      </c>
      <c r="E97" s="37">
        <v>2</v>
      </c>
      <c r="F97" s="37">
        <f t="shared" si="16"/>
        <v>1</v>
      </c>
      <c r="G97" s="37" cm="1">
        <f t="array" ref="G97">IF(E97&lt;=INDEX($B$4:$B$17,C97),1,0)</f>
        <v>1</v>
      </c>
      <c r="H97" s="55">
        <v>150</v>
      </c>
      <c r="I97" s="56">
        <v>145</v>
      </c>
      <c r="J97" s="55">
        <f t="shared" si="18"/>
        <v>416</v>
      </c>
      <c r="K97" s="55">
        <f t="shared" si="17"/>
        <v>411</v>
      </c>
      <c r="L97" s="55">
        <f t="shared" si="19"/>
        <v>0</v>
      </c>
      <c r="M97" s="55">
        <f t="shared" si="20"/>
        <v>150</v>
      </c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110"/>
      <c r="AD97" s="110"/>
      <c r="AE97" s="110"/>
      <c r="AF97" s="110"/>
      <c r="AG97" s="110"/>
      <c r="AH97" s="110"/>
      <c r="AI97" s="112"/>
      <c r="AJ97" s="111"/>
      <c r="AK97" s="111"/>
      <c r="AL97" s="111"/>
      <c r="AM97" s="111"/>
      <c r="AN97" s="111"/>
      <c r="AO97" s="111"/>
      <c r="AP97" s="59"/>
      <c r="AQ97" s="59"/>
      <c r="AR97" s="59"/>
      <c r="AS97" s="59"/>
      <c r="AT97" s="59"/>
      <c r="AU97" s="59"/>
      <c r="AV97" s="59"/>
      <c r="AW97" s="59"/>
    </row>
    <row r="98" spans="1:49" x14ac:dyDescent="0.2">
      <c r="A98" s="31"/>
      <c r="B98" s="70">
        <v>80</v>
      </c>
      <c r="C98" s="51">
        <v>6</v>
      </c>
      <c r="D98" s="55">
        <v>10</v>
      </c>
      <c r="E98" s="37">
        <v>3</v>
      </c>
      <c r="F98" s="37">
        <f t="shared" si="16"/>
        <v>1</v>
      </c>
      <c r="G98" s="37" cm="1">
        <f t="array" ref="G98">IF(E98&lt;=INDEX($B$4:$B$17,C98),1,0)</f>
        <v>1</v>
      </c>
      <c r="H98" s="55">
        <v>150</v>
      </c>
      <c r="I98" s="56">
        <v>154</v>
      </c>
      <c r="J98" s="55">
        <f t="shared" si="18"/>
        <v>411</v>
      </c>
      <c r="K98" s="55">
        <f t="shared" si="17"/>
        <v>415</v>
      </c>
      <c r="L98" s="55">
        <f t="shared" si="19"/>
        <v>0</v>
      </c>
      <c r="M98" s="55">
        <f t="shared" si="20"/>
        <v>150</v>
      </c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110"/>
      <c r="AD98" s="110"/>
      <c r="AE98" s="110"/>
      <c r="AF98" s="110"/>
      <c r="AG98" s="110"/>
      <c r="AH98" s="110"/>
      <c r="AI98" s="112"/>
      <c r="AJ98" s="111"/>
      <c r="AK98" s="111"/>
      <c r="AL98" s="111"/>
      <c r="AM98" s="111"/>
      <c r="AN98" s="111"/>
      <c r="AO98" s="111"/>
      <c r="AP98" s="59"/>
      <c r="AQ98" s="59"/>
      <c r="AR98" s="59"/>
      <c r="AS98" s="59"/>
      <c r="AT98" s="59"/>
      <c r="AU98" s="59"/>
      <c r="AV98" s="59"/>
      <c r="AW98" s="59"/>
    </row>
    <row r="99" spans="1:49" x14ac:dyDescent="0.2">
      <c r="A99" s="31"/>
      <c r="B99" s="67">
        <v>81</v>
      </c>
      <c r="C99" s="51">
        <v>6</v>
      </c>
      <c r="D99" s="55">
        <v>11</v>
      </c>
      <c r="E99" s="37">
        <v>4</v>
      </c>
      <c r="F99" s="37">
        <f t="shared" si="16"/>
        <v>1</v>
      </c>
      <c r="G99" s="37" cm="1">
        <f t="array" ref="G99">IF(E99&lt;=INDEX($B$4:$B$17,C99),1,0)</f>
        <v>1</v>
      </c>
      <c r="H99" s="55">
        <v>136</v>
      </c>
      <c r="I99" s="56">
        <v>149</v>
      </c>
      <c r="J99" s="55">
        <f t="shared" si="18"/>
        <v>415</v>
      </c>
      <c r="K99" s="55">
        <f t="shared" si="17"/>
        <v>428</v>
      </c>
      <c r="L99" s="55">
        <f t="shared" si="19"/>
        <v>0</v>
      </c>
      <c r="M99" s="55">
        <f t="shared" si="20"/>
        <v>136</v>
      </c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110"/>
      <c r="AD99" s="110"/>
      <c r="AE99" s="110"/>
      <c r="AF99" s="110"/>
      <c r="AG99" s="110"/>
      <c r="AH99" s="110"/>
      <c r="AI99" s="112"/>
      <c r="AJ99" s="111"/>
      <c r="AK99" s="111"/>
      <c r="AL99" s="111"/>
      <c r="AM99" s="111"/>
      <c r="AN99" s="111"/>
      <c r="AO99" s="111"/>
      <c r="AP99" s="59"/>
      <c r="AQ99" s="59"/>
      <c r="AR99" s="59"/>
      <c r="AS99" s="59"/>
      <c r="AT99" s="59"/>
      <c r="AU99" s="59"/>
      <c r="AV99" s="59"/>
      <c r="AW99" s="59"/>
    </row>
    <row r="100" spans="1:49" x14ac:dyDescent="0.2">
      <c r="A100" s="31"/>
      <c r="B100" s="70">
        <v>82</v>
      </c>
      <c r="C100" s="51">
        <v>6</v>
      </c>
      <c r="D100" s="55">
        <v>12</v>
      </c>
      <c r="E100" s="37">
        <v>5</v>
      </c>
      <c r="F100" s="37">
        <f t="shared" si="16"/>
        <v>1</v>
      </c>
      <c r="G100" s="37" cm="1">
        <f t="array" ref="G100">IF(E100&lt;=INDEX($B$4:$B$17,C100),1,0)</f>
        <v>1</v>
      </c>
      <c r="H100" s="55">
        <v>145</v>
      </c>
      <c r="I100" s="56">
        <v>135</v>
      </c>
      <c r="J100" s="55">
        <f t="shared" si="18"/>
        <v>428</v>
      </c>
      <c r="K100" s="55">
        <f t="shared" si="17"/>
        <v>418</v>
      </c>
      <c r="L100" s="55">
        <f t="shared" si="19"/>
        <v>0</v>
      </c>
      <c r="M100" s="55">
        <f t="shared" si="20"/>
        <v>145</v>
      </c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110"/>
      <c r="AD100" s="110"/>
      <c r="AE100" s="110"/>
      <c r="AF100" s="110"/>
      <c r="AG100" s="110"/>
      <c r="AH100" s="110"/>
      <c r="AI100" s="112"/>
      <c r="AJ100" s="111"/>
      <c r="AK100" s="111"/>
      <c r="AL100" s="111"/>
      <c r="AM100" s="111"/>
      <c r="AN100" s="111"/>
      <c r="AO100" s="111"/>
      <c r="AP100" s="59"/>
      <c r="AQ100" s="59"/>
      <c r="AR100" s="59"/>
      <c r="AS100" s="59"/>
      <c r="AT100" s="59"/>
      <c r="AU100" s="59"/>
      <c r="AV100" s="59"/>
      <c r="AW100" s="59"/>
    </row>
    <row r="101" spans="1:49" x14ac:dyDescent="0.2">
      <c r="A101" s="31"/>
      <c r="B101" s="67">
        <v>83</v>
      </c>
      <c r="C101" s="51">
        <v>6</v>
      </c>
      <c r="D101" s="55">
        <v>13</v>
      </c>
      <c r="E101" s="37">
        <v>6</v>
      </c>
      <c r="F101" s="37">
        <f t="shared" si="16"/>
        <v>0</v>
      </c>
      <c r="G101" s="37" cm="1">
        <f t="array" ref="G101">IF(E101&lt;=INDEX($B$4:$B$17,C101),1,0)</f>
        <v>0</v>
      </c>
      <c r="H101" s="55">
        <v>0</v>
      </c>
      <c r="I101" s="56">
        <v>0</v>
      </c>
      <c r="J101" s="55">
        <f t="shared" si="18"/>
        <v>418</v>
      </c>
      <c r="K101" s="55">
        <f t="shared" si="17"/>
        <v>418</v>
      </c>
      <c r="L101" s="55">
        <f t="shared" si="19"/>
        <v>0</v>
      </c>
      <c r="M101" s="55" t="str">
        <f t="shared" si="20"/>
        <v/>
      </c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110"/>
      <c r="AD101" s="110"/>
      <c r="AE101" s="110"/>
      <c r="AF101" s="110"/>
      <c r="AG101" s="110"/>
      <c r="AH101" s="110"/>
      <c r="AI101" s="112"/>
      <c r="AJ101" s="111"/>
      <c r="AK101" s="111"/>
      <c r="AL101" s="111"/>
      <c r="AM101" s="111"/>
      <c r="AN101" s="111"/>
      <c r="AO101" s="111"/>
      <c r="AP101" s="59"/>
      <c r="AQ101" s="59"/>
      <c r="AR101" s="59"/>
      <c r="AS101" s="59"/>
      <c r="AT101" s="59"/>
      <c r="AU101" s="59"/>
      <c r="AV101" s="59"/>
      <c r="AW101" s="59"/>
    </row>
    <row r="102" spans="1:49" x14ac:dyDescent="0.2">
      <c r="A102" s="31"/>
      <c r="B102" s="70">
        <v>84</v>
      </c>
      <c r="C102" s="52">
        <v>6</v>
      </c>
      <c r="D102" s="57">
        <v>14</v>
      </c>
      <c r="E102" s="37">
        <v>7</v>
      </c>
      <c r="F102" s="37">
        <f t="shared" si="16"/>
        <v>0</v>
      </c>
      <c r="G102" s="37" cm="1">
        <f t="array" ref="G102">IF(E102&lt;=INDEX($B$4:$B$17,C102),1,0)</f>
        <v>0</v>
      </c>
      <c r="H102" s="57">
        <v>0</v>
      </c>
      <c r="I102" s="58">
        <v>0</v>
      </c>
      <c r="J102" s="55">
        <f t="shared" si="18"/>
        <v>418</v>
      </c>
      <c r="K102" s="55">
        <f t="shared" si="17"/>
        <v>418</v>
      </c>
      <c r="L102" s="55">
        <f t="shared" si="19"/>
        <v>0</v>
      </c>
      <c r="M102" s="55" t="str">
        <f t="shared" si="20"/>
        <v/>
      </c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110"/>
      <c r="AD102" s="110"/>
      <c r="AE102" s="110"/>
      <c r="AF102" s="110"/>
      <c r="AG102" s="110"/>
      <c r="AH102" s="110"/>
      <c r="AI102" s="112"/>
      <c r="AJ102" s="111"/>
      <c r="AK102" s="111"/>
      <c r="AL102" s="111"/>
      <c r="AM102" s="111"/>
      <c r="AN102" s="111"/>
      <c r="AO102" s="111"/>
      <c r="AP102" s="59"/>
      <c r="AQ102" s="59"/>
      <c r="AR102" s="59"/>
      <c r="AS102" s="59"/>
      <c r="AT102" s="59"/>
      <c r="AU102" s="59"/>
      <c r="AV102" s="59"/>
      <c r="AW102" s="59"/>
    </row>
    <row r="103" spans="1:49" x14ac:dyDescent="0.2">
      <c r="A103" s="31" t="s">
        <v>94</v>
      </c>
      <c r="B103" s="67">
        <v>85</v>
      </c>
      <c r="C103" s="50">
        <v>7</v>
      </c>
      <c r="D103" s="53">
        <v>1</v>
      </c>
      <c r="E103" s="35">
        <v>1</v>
      </c>
      <c r="F103" s="35">
        <f t="shared" si="16"/>
        <v>1</v>
      </c>
      <c r="G103" s="35" cm="1">
        <f t="array" ref="G103">IF(E103&lt;=INDEX($B$4:$B$17,C103),1,0)</f>
        <v>1</v>
      </c>
      <c r="H103" s="53">
        <v>127</v>
      </c>
      <c r="I103" s="54">
        <v>133</v>
      </c>
      <c r="J103" s="55">
        <f t="shared" si="18"/>
        <v>418</v>
      </c>
      <c r="K103" s="55">
        <f t="shared" si="17"/>
        <v>424</v>
      </c>
      <c r="L103" s="55">
        <f t="shared" si="19"/>
        <v>0</v>
      </c>
      <c r="M103" s="55">
        <f t="shared" si="20"/>
        <v>127</v>
      </c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110"/>
      <c r="AD103" s="110"/>
      <c r="AE103" s="110"/>
      <c r="AF103" s="110"/>
      <c r="AG103" s="110"/>
      <c r="AH103" s="110"/>
      <c r="AI103" s="112"/>
      <c r="AJ103" s="111"/>
      <c r="AK103" s="111"/>
      <c r="AL103" s="111"/>
      <c r="AM103" s="111"/>
      <c r="AN103" s="111"/>
      <c r="AO103" s="111"/>
      <c r="AP103" s="59"/>
      <c r="AQ103" s="59"/>
      <c r="AR103" s="59"/>
      <c r="AS103" s="59"/>
      <c r="AT103" s="59"/>
      <c r="AU103" s="59"/>
      <c r="AV103" s="59"/>
      <c r="AW103" s="59"/>
    </row>
    <row r="104" spans="1:49" x14ac:dyDescent="0.2">
      <c r="A104" s="31"/>
      <c r="B104" s="70">
        <v>86</v>
      </c>
      <c r="C104" s="51">
        <v>7</v>
      </c>
      <c r="D104" s="55">
        <v>2</v>
      </c>
      <c r="E104" s="37">
        <v>2</v>
      </c>
      <c r="F104" s="37">
        <f t="shared" si="16"/>
        <v>1</v>
      </c>
      <c r="G104" s="37" cm="1">
        <f t="array" ref="G104">IF(E104&lt;=INDEX($B$4:$B$17,C104),1,0)</f>
        <v>1</v>
      </c>
      <c r="H104" s="55">
        <v>135</v>
      </c>
      <c r="I104" s="56">
        <v>144</v>
      </c>
      <c r="J104" s="55">
        <f t="shared" si="18"/>
        <v>424</v>
      </c>
      <c r="K104" s="55">
        <f t="shared" si="17"/>
        <v>433</v>
      </c>
      <c r="L104" s="55">
        <f t="shared" si="19"/>
        <v>0</v>
      </c>
      <c r="M104" s="55">
        <f t="shared" si="20"/>
        <v>135</v>
      </c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110"/>
      <c r="AD104" s="110"/>
      <c r="AE104" s="110"/>
      <c r="AF104" s="110"/>
      <c r="AG104" s="110"/>
      <c r="AH104" s="110"/>
      <c r="AI104" s="112"/>
      <c r="AJ104" s="111"/>
      <c r="AK104" s="111"/>
      <c r="AL104" s="111"/>
      <c r="AM104" s="111"/>
      <c r="AN104" s="111"/>
      <c r="AO104" s="111"/>
      <c r="AP104" s="59"/>
      <c r="AQ104" s="59"/>
      <c r="AR104" s="59"/>
      <c r="AS104" s="59"/>
      <c r="AT104" s="59"/>
      <c r="AU104" s="59"/>
      <c r="AV104" s="59"/>
      <c r="AW104" s="59"/>
    </row>
    <row r="105" spans="1:49" x14ac:dyDescent="0.2">
      <c r="A105" s="31"/>
      <c r="B105" s="67">
        <v>87</v>
      </c>
      <c r="C105" s="51">
        <v>7</v>
      </c>
      <c r="D105" s="55">
        <v>3</v>
      </c>
      <c r="E105" s="37">
        <v>3</v>
      </c>
      <c r="F105" s="37">
        <f t="shared" si="16"/>
        <v>1</v>
      </c>
      <c r="G105" s="37" cm="1">
        <f t="array" ref="G105">IF(E105&lt;=INDEX($B$4:$B$17,C105),1,0)</f>
        <v>1</v>
      </c>
      <c r="H105" s="55">
        <v>159</v>
      </c>
      <c r="I105" s="56">
        <v>119</v>
      </c>
      <c r="J105" s="55">
        <f t="shared" si="18"/>
        <v>433</v>
      </c>
      <c r="K105" s="55">
        <f t="shared" si="17"/>
        <v>393</v>
      </c>
      <c r="L105" s="55">
        <f t="shared" si="19"/>
        <v>0</v>
      </c>
      <c r="M105" s="55">
        <f t="shared" si="20"/>
        <v>159</v>
      </c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110"/>
      <c r="AD105" s="110"/>
      <c r="AE105" s="110"/>
      <c r="AF105" s="110"/>
      <c r="AG105" s="110"/>
      <c r="AH105" s="110"/>
      <c r="AI105" s="112"/>
      <c r="AJ105" s="111"/>
      <c r="AK105" s="111"/>
      <c r="AL105" s="111"/>
      <c r="AM105" s="111"/>
      <c r="AN105" s="111"/>
      <c r="AO105" s="111"/>
      <c r="AP105" s="59"/>
      <c r="AQ105" s="59"/>
      <c r="AR105" s="59"/>
      <c r="AS105" s="59"/>
      <c r="AT105" s="59"/>
      <c r="AU105" s="59"/>
      <c r="AV105" s="59"/>
      <c r="AW105" s="59"/>
    </row>
    <row r="106" spans="1:49" x14ac:dyDescent="0.2">
      <c r="A106" s="31"/>
      <c r="B106" s="70">
        <v>88</v>
      </c>
      <c r="C106" s="51">
        <v>7</v>
      </c>
      <c r="D106" s="55">
        <v>4</v>
      </c>
      <c r="E106" s="37">
        <v>4</v>
      </c>
      <c r="F106" s="37">
        <f t="shared" si="16"/>
        <v>1</v>
      </c>
      <c r="G106" s="37" cm="1">
        <f t="array" ref="G106">IF(E106&lt;=INDEX($B$4:$B$17,C106),1,0)</f>
        <v>1</v>
      </c>
      <c r="H106" s="55">
        <v>146</v>
      </c>
      <c r="I106" s="56">
        <v>129</v>
      </c>
      <c r="J106" s="55">
        <f t="shared" si="18"/>
        <v>393</v>
      </c>
      <c r="K106" s="55">
        <f t="shared" si="17"/>
        <v>376</v>
      </c>
      <c r="L106" s="55">
        <f t="shared" si="19"/>
        <v>0</v>
      </c>
      <c r="M106" s="55">
        <f t="shared" si="20"/>
        <v>146</v>
      </c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110"/>
      <c r="AD106" s="110"/>
      <c r="AE106" s="110"/>
      <c r="AF106" s="110"/>
      <c r="AG106" s="110"/>
      <c r="AH106" s="110"/>
      <c r="AI106" s="112"/>
      <c r="AJ106" s="111"/>
      <c r="AK106" s="111"/>
      <c r="AL106" s="111"/>
      <c r="AM106" s="111"/>
      <c r="AN106" s="111"/>
      <c r="AO106" s="111"/>
      <c r="AP106" s="59"/>
      <c r="AQ106" s="59"/>
      <c r="AR106" s="59"/>
      <c r="AS106" s="59"/>
      <c r="AT106" s="59"/>
      <c r="AU106" s="59"/>
      <c r="AV106" s="59"/>
      <c r="AW106" s="59"/>
    </row>
    <row r="107" spans="1:49" x14ac:dyDescent="0.2">
      <c r="A107" s="31"/>
      <c r="B107" s="67">
        <v>89</v>
      </c>
      <c r="C107" s="51">
        <v>7</v>
      </c>
      <c r="D107" s="55">
        <v>5</v>
      </c>
      <c r="E107" s="37">
        <v>5</v>
      </c>
      <c r="F107" s="37">
        <f t="shared" si="16"/>
        <v>1</v>
      </c>
      <c r="G107" s="37" cm="1">
        <f t="array" ref="G107">IF(E107&lt;=INDEX($B$4:$B$17,C107),1,0)</f>
        <v>1</v>
      </c>
      <c r="H107" s="55">
        <v>158</v>
      </c>
      <c r="I107" s="56">
        <v>172</v>
      </c>
      <c r="J107" s="55">
        <f t="shared" si="18"/>
        <v>376</v>
      </c>
      <c r="K107" s="55">
        <f t="shared" si="17"/>
        <v>390</v>
      </c>
      <c r="L107" s="55">
        <f t="shared" si="19"/>
        <v>0</v>
      </c>
      <c r="M107" s="55">
        <f t="shared" si="20"/>
        <v>158</v>
      </c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110"/>
      <c r="AD107" s="110"/>
      <c r="AE107" s="110"/>
      <c r="AF107" s="110"/>
      <c r="AG107" s="110"/>
      <c r="AH107" s="110"/>
      <c r="AI107" s="112"/>
      <c r="AJ107" s="111"/>
      <c r="AK107" s="111"/>
      <c r="AL107" s="111"/>
      <c r="AM107" s="111"/>
      <c r="AN107" s="111"/>
      <c r="AO107" s="111"/>
      <c r="AP107" s="59"/>
      <c r="AQ107" s="59"/>
      <c r="AR107" s="59"/>
      <c r="AS107" s="59"/>
      <c r="AT107" s="59"/>
      <c r="AU107" s="59"/>
      <c r="AV107" s="59"/>
      <c r="AW107" s="59"/>
    </row>
    <row r="108" spans="1:49" x14ac:dyDescent="0.2">
      <c r="A108" s="31"/>
      <c r="B108" s="70">
        <v>90</v>
      </c>
      <c r="C108" s="51">
        <v>7</v>
      </c>
      <c r="D108" s="55">
        <v>6</v>
      </c>
      <c r="E108" s="37">
        <v>6</v>
      </c>
      <c r="F108" s="37">
        <f t="shared" si="16"/>
        <v>0</v>
      </c>
      <c r="G108" s="37" cm="1">
        <f t="array" ref="G108">IF(E108&lt;=INDEX($B$4:$B$17,C108),1,0)</f>
        <v>0</v>
      </c>
      <c r="H108" s="55">
        <v>0</v>
      </c>
      <c r="I108" s="56">
        <v>0</v>
      </c>
      <c r="J108" s="55">
        <f t="shared" si="18"/>
        <v>390</v>
      </c>
      <c r="K108" s="55">
        <f t="shared" si="17"/>
        <v>390</v>
      </c>
      <c r="L108" s="55">
        <f t="shared" si="19"/>
        <v>0</v>
      </c>
      <c r="M108" s="55" t="str">
        <f t="shared" si="20"/>
        <v/>
      </c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110"/>
      <c r="AD108" s="110"/>
      <c r="AE108" s="110"/>
      <c r="AF108" s="110"/>
      <c r="AG108" s="110"/>
      <c r="AH108" s="110"/>
      <c r="AI108" s="112"/>
      <c r="AJ108" s="111"/>
      <c r="AK108" s="111"/>
      <c r="AL108" s="111"/>
      <c r="AM108" s="111"/>
      <c r="AN108" s="111"/>
      <c r="AO108" s="111"/>
      <c r="AP108" s="59"/>
      <c r="AQ108" s="59"/>
      <c r="AR108" s="59"/>
      <c r="AS108" s="59"/>
      <c r="AT108" s="59"/>
      <c r="AU108" s="59"/>
      <c r="AV108" s="59"/>
      <c r="AW108" s="59"/>
    </row>
    <row r="109" spans="1:49" x14ac:dyDescent="0.2">
      <c r="A109" s="31"/>
      <c r="B109" s="67">
        <v>91</v>
      </c>
      <c r="C109" s="51">
        <v>7</v>
      </c>
      <c r="D109" s="55">
        <v>7</v>
      </c>
      <c r="E109" s="37">
        <v>7</v>
      </c>
      <c r="F109" s="37">
        <f t="shared" si="16"/>
        <v>0</v>
      </c>
      <c r="G109" s="37" cm="1">
        <f t="array" ref="G109">IF(E109&lt;=INDEX($B$4:$B$17,C109),1,0)</f>
        <v>0</v>
      </c>
      <c r="H109" s="55">
        <v>0</v>
      </c>
      <c r="I109" s="56">
        <v>0</v>
      </c>
      <c r="J109" s="55">
        <f t="shared" si="18"/>
        <v>390</v>
      </c>
      <c r="K109" s="55">
        <f t="shared" si="17"/>
        <v>390</v>
      </c>
      <c r="L109" s="55">
        <f t="shared" si="19"/>
        <v>0</v>
      </c>
      <c r="M109" s="55" t="str">
        <f t="shared" si="20"/>
        <v/>
      </c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110"/>
      <c r="AD109" s="110"/>
      <c r="AE109" s="110"/>
      <c r="AF109" s="110"/>
      <c r="AG109" s="110"/>
      <c r="AH109" s="110"/>
      <c r="AI109" s="112"/>
      <c r="AJ109" s="111"/>
      <c r="AK109" s="111"/>
      <c r="AL109" s="111"/>
      <c r="AM109" s="111"/>
      <c r="AN109" s="111"/>
      <c r="AO109" s="111"/>
      <c r="AP109" s="59"/>
      <c r="AQ109" s="59"/>
      <c r="AR109" s="59"/>
      <c r="AS109" s="59"/>
      <c r="AT109" s="59"/>
      <c r="AU109" s="59"/>
      <c r="AV109" s="59"/>
      <c r="AW109" s="59"/>
    </row>
    <row r="110" spans="1:49" x14ac:dyDescent="0.2">
      <c r="A110" s="31"/>
      <c r="B110" s="70">
        <v>92</v>
      </c>
      <c r="C110" s="51">
        <v>7</v>
      </c>
      <c r="D110" s="55">
        <v>8</v>
      </c>
      <c r="E110" s="35">
        <v>1</v>
      </c>
      <c r="F110" s="35">
        <f t="shared" si="16"/>
        <v>1</v>
      </c>
      <c r="G110" s="37" cm="1">
        <f t="array" ref="G110">IF(E110&lt;=INDEX($B$4:$B$17,C110),1,0)</f>
        <v>1</v>
      </c>
      <c r="H110" s="55">
        <v>135</v>
      </c>
      <c r="I110" s="56">
        <v>142</v>
      </c>
      <c r="J110" s="55">
        <f t="shared" si="18"/>
        <v>390</v>
      </c>
      <c r="K110" s="55">
        <f t="shared" si="17"/>
        <v>397</v>
      </c>
      <c r="L110" s="55">
        <f t="shared" si="19"/>
        <v>0</v>
      </c>
      <c r="M110" s="55">
        <f t="shared" si="20"/>
        <v>135</v>
      </c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110"/>
      <c r="AD110" s="110"/>
      <c r="AE110" s="110"/>
      <c r="AF110" s="110"/>
      <c r="AG110" s="110"/>
      <c r="AH110" s="110"/>
      <c r="AI110" s="112"/>
      <c r="AJ110" s="111"/>
      <c r="AK110" s="111"/>
      <c r="AL110" s="111"/>
      <c r="AM110" s="111"/>
      <c r="AN110" s="111"/>
      <c r="AO110" s="111"/>
      <c r="AP110" s="59"/>
      <c r="AQ110" s="59"/>
      <c r="AR110" s="59"/>
      <c r="AS110" s="59"/>
      <c r="AT110" s="59"/>
      <c r="AU110" s="59"/>
      <c r="AV110" s="59"/>
      <c r="AW110" s="59"/>
    </row>
    <row r="111" spans="1:49" x14ac:dyDescent="0.2">
      <c r="A111" s="31"/>
      <c r="B111" s="67">
        <v>93</v>
      </c>
      <c r="C111" s="51">
        <v>7</v>
      </c>
      <c r="D111" s="55">
        <v>9</v>
      </c>
      <c r="E111" s="37">
        <v>2</v>
      </c>
      <c r="F111" s="37">
        <f t="shared" si="16"/>
        <v>1</v>
      </c>
      <c r="G111" s="37" cm="1">
        <f t="array" ref="G111">IF(E111&lt;=INDEX($B$4:$B$17,C111),1,0)</f>
        <v>1</v>
      </c>
      <c r="H111" s="55">
        <v>152</v>
      </c>
      <c r="I111" s="56">
        <v>151</v>
      </c>
      <c r="J111" s="55">
        <f t="shared" si="18"/>
        <v>397</v>
      </c>
      <c r="K111" s="55">
        <f t="shared" si="17"/>
        <v>396</v>
      </c>
      <c r="L111" s="55">
        <f t="shared" si="19"/>
        <v>0</v>
      </c>
      <c r="M111" s="55">
        <f t="shared" si="20"/>
        <v>152</v>
      </c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110"/>
      <c r="AD111" s="110"/>
      <c r="AE111" s="110"/>
      <c r="AF111" s="110"/>
      <c r="AG111" s="110"/>
      <c r="AH111" s="110"/>
      <c r="AI111" s="112"/>
      <c r="AJ111" s="111"/>
      <c r="AK111" s="111"/>
      <c r="AL111" s="111"/>
      <c r="AM111" s="111"/>
      <c r="AN111" s="111"/>
      <c r="AO111" s="111"/>
      <c r="AP111" s="59"/>
      <c r="AQ111" s="59"/>
      <c r="AR111" s="59"/>
      <c r="AS111" s="59"/>
      <c r="AT111" s="59"/>
      <c r="AU111" s="59"/>
      <c r="AV111" s="59"/>
      <c r="AW111" s="59"/>
    </row>
    <row r="112" spans="1:49" x14ac:dyDescent="0.2">
      <c r="A112" s="31"/>
      <c r="B112" s="70">
        <v>94</v>
      </c>
      <c r="C112" s="51">
        <v>7</v>
      </c>
      <c r="D112" s="55">
        <v>10</v>
      </c>
      <c r="E112" s="37">
        <v>3</v>
      </c>
      <c r="F112" s="37">
        <f t="shared" si="16"/>
        <v>1</v>
      </c>
      <c r="G112" s="37" cm="1">
        <f t="array" ref="G112">IF(E112&lt;=INDEX($B$4:$B$17,C112),1,0)</f>
        <v>1</v>
      </c>
      <c r="H112" s="55">
        <v>146</v>
      </c>
      <c r="I112" s="56">
        <v>173</v>
      </c>
      <c r="J112" s="55">
        <f t="shared" si="18"/>
        <v>396</v>
      </c>
      <c r="K112" s="55">
        <f t="shared" si="17"/>
        <v>423</v>
      </c>
      <c r="L112" s="55">
        <f t="shared" si="19"/>
        <v>0</v>
      </c>
      <c r="M112" s="55">
        <f t="shared" si="20"/>
        <v>146</v>
      </c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110"/>
      <c r="AD112" s="110"/>
      <c r="AE112" s="110"/>
      <c r="AF112" s="110"/>
      <c r="AG112" s="110"/>
      <c r="AH112" s="110"/>
      <c r="AI112" s="112"/>
      <c r="AJ112" s="111"/>
      <c r="AK112" s="111"/>
      <c r="AL112" s="111"/>
      <c r="AM112" s="111"/>
      <c r="AN112" s="111"/>
      <c r="AO112" s="111"/>
      <c r="AP112" s="59"/>
      <c r="AQ112" s="59"/>
      <c r="AR112" s="59"/>
      <c r="AS112" s="59"/>
      <c r="AT112" s="59"/>
      <c r="AU112" s="59"/>
      <c r="AV112" s="59"/>
      <c r="AW112" s="59"/>
    </row>
    <row r="113" spans="1:49" x14ac:dyDescent="0.2">
      <c r="A113" s="31"/>
      <c r="B113" s="67">
        <v>95</v>
      </c>
      <c r="C113" s="51">
        <v>7</v>
      </c>
      <c r="D113" s="55">
        <v>11</v>
      </c>
      <c r="E113" s="37">
        <v>4</v>
      </c>
      <c r="F113" s="37">
        <f t="shared" si="16"/>
        <v>1</v>
      </c>
      <c r="G113" s="37" cm="1">
        <f t="array" ref="G113">IF(E113&lt;=INDEX($B$4:$B$17,C113),1,0)</f>
        <v>1</v>
      </c>
      <c r="H113" s="55">
        <v>137</v>
      </c>
      <c r="I113" s="56">
        <v>127</v>
      </c>
      <c r="J113" s="55">
        <f t="shared" si="18"/>
        <v>423</v>
      </c>
      <c r="K113" s="55">
        <f t="shared" si="17"/>
        <v>413</v>
      </c>
      <c r="L113" s="55">
        <f t="shared" si="19"/>
        <v>0</v>
      </c>
      <c r="M113" s="55">
        <f t="shared" si="20"/>
        <v>137</v>
      </c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110"/>
      <c r="AD113" s="110"/>
      <c r="AE113" s="110"/>
      <c r="AF113" s="110"/>
      <c r="AG113" s="110"/>
      <c r="AH113" s="110"/>
      <c r="AI113" s="112"/>
      <c r="AJ113" s="111"/>
      <c r="AK113" s="111"/>
      <c r="AL113" s="111"/>
      <c r="AM113" s="111"/>
      <c r="AN113" s="111"/>
      <c r="AO113" s="111"/>
      <c r="AP113" s="59"/>
      <c r="AQ113" s="59"/>
      <c r="AR113" s="59"/>
      <c r="AS113" s="59"/>
      <c r="AT113" s="59"/>
      <c r="AU113" s="59"/>
      <c r="AV113" s="59"/>
      <c r="AW113" s="59"/>
    </row>
    <row r="114" spans="1:49" x14ac:dyDescent="0.2">
      <c r="A114" s="31"/>
      <c r="B114" s="70">
        <v>96</v>
      </c>
      <c r="C114" s="51">
        <v>7</v>
      </c>
      <c r="D114" s="55">
        <v>12</v>
      </c>
      <c r="E114" s="37">
        <v>5</v>
      </c>
      <c r="F114" s="37">
        <f t="shared" si="16"/>
        <v>1</v>
      </c>
      <c r="G114" s="37" cm="1">
        <f t="array" ref="G114">IF(E114&lt;=INDEX($B$4:$B$17,C114),1,0)</f>
        <v>1</v>
      </c>
      <c r="H114" s="55">
        <v>143</v>
      </c>
      <c r="I114" s="56">
        <v>143</v>
      </c>
      <c r="J114" s="55">
        <f t="shared" si="18"/>
        <v>413</v>
      </c>
      <c r="K114" s="55">
        <f t="shared" si="17"/>
        <v>413</v>
      </c>
      <c r="L114" s="55">
        <f t="shared" si="19"/>
        <v>0</v>
      </c>
      <c r="M114" s="55">
        <f t="shared" si="20"/>
        <v>143</v>
      </c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110"/>
      <c r="AD114" s="110"/>
      <c r="AE114" s="110"/>
      <c r="AF114" s="110"/>
      <c r="AG114" s="110"/>
      <c r="AH114" s="110"/>
      <c r="AI114" s="112"/>
      <c r="AJ114" s="111"/>
      <c r="AK114" s="111"/>
      <c r="AL114" s="111"/>
      <c r="AM114" s="111"/>
      <c r="AN114" s="111"/>
      <c r="AO114" s="111"/>
      <c r="AP114" s="59"/>
      <c r="AQ114" s="59"/>
      <c r="AR114" s="59"/>
      <c r="AS114" s="59"/>
      <c r="AT114" s="59"/>
      <c r="AU114" s="59"/>
      <c r="AV114" s="59"/>
      <c r="AW114" s="59"/>
    </row>
    <row r="115" spans="1:49" x14ac:dyDescent="0.2">
      <c r="A115" s="31"/>
      <c r="B115" s="67">
        <v>97</v>
      </c>
      <c r="C115" s="51">
        <v>7</v>
      </c>
      <c r="D115" s="55">
        <v>13</v>
      </c>
      <c r="E115" s="37">
        <v>6</v>
      </c>
      <c r="F115" s="37">
        <f t="shared" si="16"/>
        <v>0</v>
      </c>
      <c r="G115" s="37" cm="1">
        <f t="array" ref="G115">IF(E115&lt;=INDEX($B$4:$B$17,C115),1,0)</f>
        <v>0</v>
      </c>
      <c r="H115" s="55">
        <v>0</v>
      </c>
      <c r="I115" s="56">
        <v>0</v>
      </c>
      <c r="J115" s="55">
        <f t="shared" si="18"/>
        <v>413</v>
      </c>
      <c r="K115" s="55">
        <f t="shared" si="17"/>
        <v>413</v>
      </c>
      <c r="L115" s="55">
        <f t="shared" si="19"/>
        <v>0</v>
      </c>
      <c r="M115" s="55" t="str">
        <f t="shared" si="20"/>
        <v/>
      </c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110"/>
      <c r="AD115" s="110"/>
      <c r="AE115" s="110"/>
      <c r="AF115" s="110"/>
      <c r="AG115" s="110"/>
      <c r="AH115" s="110"/>
      <c r="AI115" s="112"/>
      <c r="AJ115" s="111"/>
      <c r="AK115" s="111"/>
      <c r="AL115" s="111"/>
      <c r="AM115" s="111"/>
      <c r="AN115" s="111"/>
      <c r="AO115" s="111"/>
      <c r="AP115" s="59"/>
      <c r="AQ115" s="59"/>
      <c r="AR115" s="59"/>
      <c r="AS115" s="59"/>
      <c r="AT115" s="59"/>
      <c r="AU115" s="59"/>
      <c r="AV115" s="59"/>
      <c r="AW115" s="59"/>
    </row>
    <row r="116" spans="1:49" x14ac:dyDescent="0.2">
      <c r="A116" s="31"/>
      <c r="B116" s="70">
        <v>98</v>
      </c>
      <c r="C116" s="52">
        <v>7</v>
      </c>
      <c r="D116" s="57">
        <v>14</v>
      </c>
      <c r="E116" s="37">
        <v>7</v>
      </c>
      <c r="F116" s="37">
        <f t="shared" si="16"/>
        <v>0</v>
      </c>
      <c r="G116" s="37" cm="1">
        <f t="array" ref="G116">IF(E116&lt;=INDEX($B$4:$B$17,C116),1,0)</f>
        <v>0</v>
      </c>
      <c r="H116" s="57">
        <v>0</v>
      </c>
      <c r="I116" s="58">
        <v>0</v>
      </c>
      <c r="J116" s="55">
        <f t="shared" si="18"/>
        <v>413</v>
      </c>
      <c r="K116" s="55">
        <f t="shared" si="17"/>
        <v>413</v>
      </c>
      <c r="L116" s="55">
        <f t="shared" si="19"/>
        <v>0</v>
      </c>
      <c r="M116" s="55" t="str">
        <f t="shared" si="20"/>
        <v/>
      </c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110"/>
      <c r="AD116" s="110"/>
      <c r="AE116" s="110"/>
      <c r="AF116" s="110"/>
      <c r="AG116" s="110"/>
      <c r="AH116" s="110"/>
      <c r="AI116" s="112"/>
      <c r="AJ116" s="111"/>
      <c r="AK116" s="111"/>
      <c r="AL116" s="111"/>
      <c r="AM116" s="111"/>
      <c r="AN116" s="111"/>
      <c r="AO116" s="111"/>
      <c r="AP116" s="59"/>
      <c r="AQ116" s="59"/>
      <c r="AR116" s="59"/>
      <c r="AS116" s="59"/>
      <c r="AT116" s="59"/>
      <c r="AU116" s="59"/>
      <c r="AV116" s="59"/>
      <c r="AW116" s="59"/>
    </row>
    <row r="117" spans="1:49" x14ac:dyDescent="0.2">
      <c r="A117" s="31" t="s">
        <v>93</v>
      </c>
      <c r="B117" s="67">
        <v>99</v>
      </c>
      <c r="C117" s="50">
        <v>8</v>
      </c>
      <c r="D117" s="53">
        <v>1</v>
      </c>
      <c r="E117" s="35">
        <v>1</v>
      </c>
      <c r="F117" s="35">
        <f t="shared" si="16"/>
        <v>1</v>
      </c>
      <c r="G117" s="35" cm="1">
        <f t="array" ref="G117">IF(E117&lt;=INDEX($B$4:$B$17,C117),1,0)</f>
        <v>1</v>
      </c>
      <c r="H117" s="53">
        <v>145</v>
      </c>
      <c r="I117" s="54">
        <v>189</v>
      </c>
      <c r="J117" s="55">
        <f t="shared" si="18"/>
        <v>413</v>
      </c>
      <c r="K117" s="55">
        <f t="shared" si="17"/>
        <v>457</v>
      </c>
      <c r="L117" s="55">
        <f t="shared" si="19"/>
        <v>0</v>
      </c>
      <c r="M117" s="55">
        <f t="shared" si="20"/>
        <v>145</v>
      </c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110"/>
      <c r="AD117" s="110"/>
      <c r="AE117" s="111"/>
      <c r="AF117" s="111"/>
      <c r="AG117" s="111"/>
      <c r="AH117" s="111"/>
      <c r="AI117" s="112"/>
      <c r="AJ117" s="111"/>
      <c r="AK117" s="111"/>
      <c r="AL117" s="111"/>
      <c r="AM117" s="111"/>
      <c r="AN117" s="111"/>
      <c r="AO117" s="111"/>
      <c r="AP117" s="59"/>
      <c r="AQ117" s="59"/>
      <c r="AR117" s="59"/>
      <c r="AS117" s="59"/>
      <c r="AT117" s="59"/>
      <c r="AU117" s="59"/>
      <c r="AV117" s="59"/>
      <c r="AW117" s="59"/>
    </row>
    <row r="118" spans="1:49" x14ac:dyDescent="0.2">
      <c r="A118" s="31"/>
      <c r="B118" s="70">
        <v>100</v>
      </c>
      <c r="C118" s="51">
        <v>8</v>
      </c>
      <c r="D118" s="55">
        <v>2</v>
      </c>
      <c r="E118" s="37">
        <v>2</v>
      </c>
      <c r="F118" s="37">
        <f t="shared" si="16"/>
        <v>1</v>
      </c>
      <c r="G118" s="37" cm="1">
        <f t="array" ref="G118">IF(E118&lt;=INDEX($B$4:$B$17,C118),1,0)</f>
        <v>1</v>
      </c>
      <c r="H118" s="55">
        <v>152</v>
      </c>
      <c r="I118" s="56">
        <v>169</v>
      </c>
      <c r="J118" s="55">
        <f t="shared" si="18"/>
        <v>457</v>
      </c>
      <c r="K118" s="55">
        <f t="shared" si="17"/>
        <v>474</v>
      </c>
      <c r="L118" s="55">
        <f t="shared" si="19"/>
        <v>0</v>
      </c>
      <c r="M118" s="55">
        <f t="shared" si="20"/>
        <v>152</v>
      </c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110"/>
      <c r="AD118" s="110"/>
      <c r="AE118" s="111"/>
      <c r="AF118" s="111"/>
      <c r="AG118" s="111"/>
      <c r="AH118" s="111"/>
      <c r="AI118" s="112"/>
      <c r="AJ118" s="111"/>
      <c r="AK118" s="111"/>
      <c r="AL118" s="111"/>
      <c r="AM118" s="111"/>
      <c r="AN118" s="111"/>
      <c r="AO118" s="111"/>
      <c r="AP118" s="59"/>
      <c r="AQ118" s="59"/>
      <c r="AR118" s="59"/>
      <c r="AS118" s="59"/>
      <c r="AT118" s="59"/>
      <c r="AU118" s="59"/>
      <c r="AV118" s="59"/>
      <c r="AW118" s="59"/>
    </row>
    <row r="119" spans="1:49" x14ac:dyDescent="0.2">
      <c r="A119" s="31"/>
      <c r="B119" s="67">
        <v>101</v>
      </c>
      <c r="C119" s="51">
        <v>8</v>
      </c>
      <c r="D119" s="55">
        <v>3</v>
      </c>
      <c r="E119" s="37">
        <v>3</v>
      </c>
      <c r="F119" s="37">
        <f t="shared" si="16"/>
        <v>1</v>
      </c>
      <c r="G119" s="37" cm="1">
        <f t="array" ref="G119">IF(E119&lt;=INDEX($B$4:$B$17,C119),1,0)</f>
        <v>1</v>
      </c>
      <c r="H119" s="55">
        <v>161</v>
      </c>
      <c r="I119" s="56">
        <v>132</v>
      </c>
      <c r="J119" s="55">
        <f t="shared" si="18"/>
        <v>474</v>
      </c>
      <c r="K119" s="55">
        <f t="shared" si="17"/>
        <v>445</v>
      </c>
      <c r="L119" s="55">
        <f t="shared" si="19"/>
        <v>0</v>
      </c>
      <c r="M119" s="55">
        <f t="shared" si="20"/>
        <v>161</v>
      </c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110"/>
      <c r="AD119" s="110"/>
      <c r="AE119" s="111"/>
      <c r="AF119" s="111"/>
      <c r="AG119" s="111"/>
      <c r="AH119" s="111"/>
      <c r="AI119" s="112"/>
      <c r="AJ119" s="111"/>
      <c r="AK119" s="111"/>
      <c r="AL119" s="111"/>
      <c r="AM119" s="111"/>
      <c r="AN119" s="111"/>
      <c r="AO119" s="111"/>
      <c r="AP119" s="59"/>
      <c r="AQ119" s="59"/>
      <c r="AR119" s="59"/>
      <c r="AS119" s="59"/>
      <c r="AT119" s="59"/>
      <c r="AU119" s="59"/>
      <c r="AV119" s="59"/>
      <c r="AW119" s="59"/>
    </row>
    <row r="120" spans="1:49" x14ac:dyDescent="0.2">
      <c r="A120" s="31"/>
      <c r="B120" s="70">
        <v>102</v>
      </c>
      <c r="C120" s="51">
        <v>8</v>
      </c>
      <c r="D120" s="55">
        <v>4</v>
      </c>
      <c r="E120" s="37">
        <v>4</v>
      </c>
      <c r="F120" s="37">
        <f t="shared" si="16"/>
        <v>1</v>
      </c>
      <c r="G120" s="37" cm="1">
        <f t="array" ref="G120">IF(E120&lt;=INDEX($B$4:$B$17,C120),1,0)</f>
        <v>1</v>
      </c>
      <c r="H120" s="55">
        <v>132</v>
      </c>
      <c r="I120" s="56">
        <v>198</v>
      </c>
      <c r="J120" s="55">
        <f t="shared" si="18"/>
        <v>445</v>
      </c>
      <c r="K120" s="55">
        <f t="shared" si="17"/>
        <v>511</v>
      </c>
      <c r="L120" s="55">
        <f t="shared" si="19"/>
        <v>0</v>
      </c>
      <c r="M120" s="55">
        <f t="shared" si="20"/>
        <v>132</v>
      </c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110"/>
      <c r="AD120" s="110"/>
      <c r="AE120" s="111"/>
      <c r="AF120" s="111"/>
      <c r="AG120" s="111"/>
      <c r="AH120" s="111"/>
      <c r="AI120" s="112"/>
      <c r="AJ120" s="111"/>
      <c r="AK120" s="111"/>
      <c r="AL120" s="111"/>
      <c r="AM120" s="111"/>
      <c r="AN120" s="111"/>
      <c r="AO120" s="111"/>
      <c r="AP120" s="59"/>
      <c r="AQ120" s="59"/>
      <c r="AR120" s="59"/>
      <c r="AS120" s="59"/>
      <c r="AT120" s="59"/>
      <c r="AU120" s="59"/>
      <c r="AV120" s="59"/>
      <c r="AW120" s="59"/>
    </row>
    <row r="121" spans="1:49" x14ac:dyDescent="0.2">
      <c r="A121" s="31"/>
      <c r="B121" s="67">
        <v>103</v>
      </c>
      <c r="C121" s="51">
        <v>8</v>
      </c>
      <c r="D121" s="55">
        <v>5</v>
      </c>
      <c r="E121" s="37">
        <v>5</v>
      </c>
      <c r="F121" s="37">
        <f t="shared" si="16"/>
        <v>1</v>
      </c>
      <c r="G121" s="37" cm="1">
        <f t="array" ref="G121">IF(E121&lt;=INDEX($B$4:$B$17,C121),1,0)</f>
        <v>1</v>
      </c>
      <c r="H121" s="55">
        <v>126</v>
      </c>
      <c r="I121" s="56">
        <v>124</v>
      </c>
      <c r="J121" s="55">
        <f t="shared" si="18"/>
        <v>511</v>
      </c>
      <c r="K121" s="55">
        <f t="shared" si="17"/>
        <v>509</v>
      </c>
      <c r="L121" s="55">
        <f t="shared" si="19"/>
        <v>0</v>
      </c>
      <c r="M121" s="55">
        <f t="shared" si="20"/>
        <v>126</v>
      </c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110"/>
      <c r="AD121" s="110"/>
      <c r="AE121" s="111"/>
      <c r="AF121" s="111"/>
      <c r="AG121" s="111"/>
      <c r="AH121" s="111"/>
      <c r="AI121" s="112"/>
      <c r="AJ121" s="111"/>
      <c r="AK121" s="111"/>
      <c r="AL121" s="111"/>
      <c r="AM121" s="111"/>
      <c r="AN121" s="111"/>
      <c r="AO121" s="111"/>
      <c r="AP121" s="59"/>
      <c r="AQ121" s="59"/>
      <c r="AR121" s="59"/>
      <c r="AS121" s="59"/>
      <c r="AT121" s="59"/>
      <c r="AU121" s="59"/>
      <c r="AV121" s="59"/>
      <c r="AW121" s="59"/>
    </row>
    <row r="122" spans="1:49" x14ac:dyDescent="0.2">
      <c r="A122" s="31"/>
      <c r="B122" s="70">
        <v>104</v>
      </c>
      <c r="C122" s="51">
        <v>8</v>
      </c>
      <c r="D122" s="55">
        <v>6</v>
      </c>
      <c r="E122" s="37">
        <v>6</v>
      </c>
      <c r="F122" s="37">
        <f t="shared" si="16"/>
        <v>0</v>
      </c>
      <c r="G122" s="37" cm="1">
        <f t="array" ref="G122">IF(E122&lt;=INDEX($B$4:$B$17,C122),1,0)</f>
        <v>0</v>
      </c>
      <c r="H122" s="55">
        <v>0</v>
      </c>
      <c r="I122" s="56">
        <v>0</v>
      </c>
      <c r="J122" s="55">
        <f t="shared" si="18"/>
        <v>509</v>
      </c>
      <c r="K122" s="55">
        <f t="shared" si="17"/>
        <v>509</v>
      </c>
      <c r="L122" s="55">
        <f t="shared" si="19"/>
        <v>0</v>
      </c>
      <c r="M122" s="55" t="str">
        <f t="shared" si="20"/>
        <v/>
      </c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110"/>
      <c r="AD122" s="110"/>
      <c r="AE122" s="111"/>
      <c r="AF122" s="111"/>
      <c r="AG122" s="111"/>
      <c r="AH122" s="111"/>
      <c r="AI122" s="112"/>
      <c r="AJ122" s="111"/>
      <c r="AK122" s="111"/>
      <c r="AL122" s="111"/>
      <c r="AM122" s="111"/>
      <c r="AN122" s="111"/>
      <c r="AO122" s="111"/>
      <c r="AP122" s="59"/>
      <c r="AQ122" s="59"/>
      <c r="AR122" s="59"/>
      <c r="AS122" s="59"/>
      <c r="AT122" s="59"/>
      <c r="AU122" s="59"/>
      <c r="AV122" s="59"/>
      <c r="AW122" s="59"/>
    </row>
    <row r="123" spans="1:49" x14ac:dyDescent="0.2">
      <c r="A123" s="31"/>
      <c r="B123" s="67">
        <v>105</v>
      </c>
      <c r="C123" s="51">
        <v>8</v>
      </c>
      <c r="D123" s="55">
        <v>7</v>
      </c>
      <c r="E123" s="37">
        <v>7</v>
      </c>
      <c r="F123" s="37">
        <f t="shared" si="16"/>
        <v>0</v>
      </c>
      <c r="G123" s="37" cm="1">
        <f t="array" ref="G123">IF(E123&lt;=INDEX($B$4:$B$17,C123),1,0)</f>
        <v>0</v>
      </c>
      <c r="H123" s="55">
        <v>0</v>
      </c>
      <c r="I123" s="56">
        <v>0</v>
      </c>
      <c r="J123" s="55">
        <f t="shared" si="18"/>
        <v>509</v>
      </c>
      <c r="K123" s="55">
        <f t="shared" si="17"/>
        <v>509</v>
      </c>
      <c r="L123" s="55">
        <f t="shared" si="19"/>
        <v>0</v>
      </c>
      <c r="M123" s="55" t="str">
        <f t="shared" si="20"/>
        <v/>
      </c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110"/>
      <c r="AD123" s="110"/>
      <c r="AE123" s="111"/>
      <c r="AF123" s="111"/>
      <c r="AG123" s="111"/>
      <c r="AH123" s="111"/>
      <c r="AI123" s="112"/>
      <c r="AJ123" s="111"/>
      <c r="AK123" s="111"/>
      <c r="AL123" s="111"/>
      <c r="AM123" s="111"/>
      <c r="AN123" s="111"/>
      <c r="AO123" s="111"/>
      <c r="AP123" s="59"/>
      <c r="AQ123" s="59"/>
      <c r="AR123" s="59"/>
      <c r="AS123" s="59"/>
      <c r="AT123" s="59"/>
      <c r="AU123" s="59"/>
      <c r="AV123" s="59"/>
      <c r="AW123" s="59"/>
    </row>
    <row r="124" spans="1:49" x14ac:dyDescent="0.2">
      <c r="A124" s="31"/>
      <c r="B124" s="70">
        <v>106</v>
      </c>
      <c r="C124" s="51">
        <v>8</v>
      </c>
      <c r="D124" s="55">
        <v>8</v>
      </c>
      <c r="E124" s="35">
        <v>1</v>
      </c>
      <c r="F124" s="35">
        <f t="shared" si="16"/>
        <v>1</v>
      </c>
      <c r="G124" s="37" cm="1">
        <f t="array" ref="G124">IF(E124&lt;=INDEX($B$4:$B$17,C124),1,0)</f>
        <v>1</v>
      </c>
      <c r="H124" s="55">
        <v>96</v>
      </c>
      <c r="I124" s="56">
        <v>31</v>
      </c>
      <c r="J124" s="55">
        <f t="shared" si="18"/>
        <v>509</v>
      </c>
      <c r="K124" s="55">
        <f t="shared" si="17"/>
        <v>444</v>
      </c>
      <c r="L124" s="55">
        <f t="shared" si="19"/>
        <v>0</v>
      </c>
      <c r="M124" s="55">
        <f t="shared" si="20"/>
        <v>96</v>
      </c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110"/>
      <c r="AD124" s="110"/>
      <c r="AE124" s="111"/>
      <c r="AF124" s="111"/>
      <c r="AG124" s="111"/>
      <c r="AH124" s="111"/>
      <c r="AI124" s="112"/>
      <c r="AJ124" s="111"/>
      <c r="AK124" s="111"/>
      <c r="AL124" s="111"/>
      <c r="AM124" s="111"/>
      <c r="AN124" s="111"/>
      <c r="AO124" s="111"/>
      <c r="AP124" s="59"/>
      <c r="AQ124" s="59"/>
      <c r="AR124" s="59"/>
      <c r="AS124" s="59"/>
      <c r="AT124" s="59"/>
      <c r="AU124" s="59"/>
      <c r="AV124" s="59"/>
      <c r="AW124" s="59"/>
    </row>
    <row r="125" spans="1:49" x14ac:dyDescent="0.2">
      <c r="A125" s="31"/>
      <c r="B125" s="67">
        <v>107</v>
      </c>
      <c r="C125" s="51">
        <v>8</v>
      </c>
      <c r="D125" s="55">
        <v>9</v>
      </c>
      <c r="E125" s="37">
        <v>2</v>
      </c>
      <c r="F125" s="37">
        <f t="shared" si="16"/>
        <v>1</v>
      </c>
      <c r="G125" s="37" cm="1">
        <f t="array" ref="G125">IF(E125&lt;=INDEX($B$4:$B$17,C125),1,0)</f>
        <v>1</v>
      </c>
      <c r="H125" s="55">
        <v>151</v>
      </c>
      <c r="I125" s="56">
        <v>209</v>
      </c>
      <c r="J125" s="55">
        <f t="shared" si="18"/>
        <v>444</v>
      </c>
      <c r="K125" s="55">
        <f t="shared" si="17"/>
        <v>502</v>
      </c>
      <c r="L125" s="55">
        <f t="shared" si="19"/>
        <v>0</v>
      </c>
      <c r="M125" s="55">
        <f t="shared" si="20"/>
        <v>151</v>
      </c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110"/>
      <c r="AD125" s="110"/>
      <c r="AE125" s="111"/>
      <c r="AF125" s="111"/>
      <c r="AG125" s="111"/>
      <c r="AH125" s="111"/>
      <c r="AI125" s="112"/>
      <c r="AJ125" s="111"/>
      <c r="AK125" s="111"/>
      <c r="AL125" s="111"/>
      <c r="AM125" s="111"/>
      <c r="AN125" s="111"/>
      <c r="AO125" s="111"/>
      <c r="AP125" s="59"/>
      <c r="AQ125" s="59"/>
      <c r="AR125" s="59"/>
      <c r="AS125" s="59"/>
      <c r="AT125" s="59"/>
      <c r="AU125" s="59"/>
      <c r="AV125" s="59"/>
      <c r="AW125" s="59"/>
    </row>
    <row r="126" spans="1:49" x14ac:dyDescent="0.2">
      <c r="A126" s="31"/>
      <c r="B126" s="70">
        <v>108</v>
      </c>
      <c r="C126" s="51">
        <v>8</v>
      </c>
      <c r="D126" s="55">
        <v>10</v>
      </c>
      <c r="E126" s="37">
        <v>3</v>
      </c>
      <c r="F126" s="37">
        <f t="shared" si="16"/>
        <v>1</v>
      </c>
      <c r="G126" s="37" cm="1">
        <f t="array" ref="G126">IF(E126&lt;=INDEX($B$4:$B$17,C126),1,0)</f>
        <v>1</v>
      </c>
      <c r="H126" s="55">
        <v>155</v>
      </c>
      <c r="I126" s="56">
        <v>191</v>
      </c>
      <c r="J126" s="55">
        <f t="shared" si="18"/>
        <v>502</v>
      </c>
      <c r="K126" s="55">
        <f t="shared" si="17"/>
        <v>538</v>
      </c>
      <c r="L126" s="55">
        <f t="shared" si="19"/>
        <v>0</v>
      </c>
      <c r="M126" s="55">
        <f t="shared" si="20"/>
        <v>155</v>
      </c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110"/>
      <c r="AD126" s="110"/>
      <c r="AE126" s="111"/>
      <c r="AF126" s="111"/>
      <c r="AG126" s="111"/>
      <c r="AH126" s="111"/>
      <c r="AI126" s="112"/>
      <c r="AJ126" s="111"/>
      <c r="AK126" s="111"/>
      <c r="AL126" s="111"/>
      <c r="AM126" s="111"/>
      <c r="AN126" s="111"/>
      <c r="AO126" s="111"/>
      <c r="AP126" s="59"/>
      <c r="AQ126" s="59"/>
      <c r="AR126" s="59"/>
      <c r="AS126" s="59"/>
      <c r="AT126" s="59"/>
      <c r="AU126" s="59"/>
      <c r="AV126" s="59"/>
      <c r="AW126" s="59"/>
    </row>
    <row r="127" spans="1:49" x14ac:dyDescent="0.2">
      <c r="A127" s="31"/>
      <c r="B127" s="67">
        <v>109</v>
      </c>
      <c r="C127" s="51">
        <v>8</v>
      </c>
      <c r="D127" s="55">
        <v>11</v>
      </c>
      <c r="E127" s="37">
        <v>4</v>
      </c>
      <c r="F127" s="37">
        <f t="shared" si="16"/>
        <v>1</v>
      </c>
      <c r="G127" s="37" cm="1">
        <f t="array" ref="G127">IF(E127&lt;=INDEX($B$4:$B$17,C127),1,0)</f>
        <v>1</v>
      </c>
      <c r="H127" s="55">
        <v>147</v>
      </c>
      <c r="I127" s="56">
        <v>140</v>
      </c>
      <c r="J127" s="55">
        <f t="shared" si="18"/>
        <v>538</v>
      </c>
      <c r="K127" s="55">
        <f t="shared" si="17"/>
        <v>531</v>
      </c>
      <c r="L127" s="55">
        <f t="shared" si="19"/>
        <v>0</v>
      </c>
      <c r="M127" s="55">
        <f t="shared" si="20"/>
        <v>147</v>
      </c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110"/>
      <c r="AD127" s="110"/>
      <c r="AE127" s="111"/>
      <c r="AF127" s="111"/>
      <c r="AG127" s="111"/>
      <c r="AH127" s="111"/>
      <c r="AI127" s="112"/>
      <c r="AJ127" s="111"/>
      <c r="AK127" s="111"/>
      <c r="AL127" s="111"/>
      <c r="AM127" s="111"/>
      <c r="AN127" s="111"/>
      <c r="AO127" s="111"/>
      <c r="AP127" s="59"/>
      <c r="AQ127" s="59"/>
      <c r="AR127" s="59"/>
      <c r="AS127" s="59"/>
      <c r="AT127" s="59"/>
      <c r="AU127" s="59"/>
      <c r="AV127" s="59"/>
      <c r="AW127" s="59"/>
    </row>
    <row r="128" spans="1:49" x14ac:dyDescent="0.2">
      <c r="A128" s="31"/>
      <c r="B128" s="70">
        <v>110</v>
      </c>
      <c r="C128" s="51">
        <v>8</v>
      </c>
      <c r="D128" s="55">
        <v>12</v>
      </c>
      <c r="E128" s="37">
        <v>5</v>
      </c>
      <c r="F128" s="37">
        <f t="shared" si="16"/>
        <v>1</v>
      </c>
      <c r="G128" s="37" cm="1">
        <f t="array" ref="G128">IF(E128&lt;=INDEX($B$4:$B$17,C128),1,0)</f>
        <v>1</v>
      </c>
      <c r="H128" s="55">
        <v>139</v>
      </c>
      <c r="I128" s="56">
        <v>116</v>
      </c>
      <c r="J128" s="55">
        <f t="shared" si="18"/>
        <v>531</v>
      </c>
      <c r="K128" s="55">
        <f t="shared" si="17"/>
        <v>508</v>
      </c>
      <c r="L128" s="55">
        <f t="shared" si="19"/>
        <v>0</v>
      </c>
      <c r="M128" s="55">
        <f t="shared" si="20"/>
        <v>139</v>
      </c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110"/>
      <c r="AD128" s="110"/>
      <c r="AE128" s="111"/>
      <c r="AF128" s="111"/>
      <c r="AG128" s="111"/>
      <c r="AH128" s="111"/>
      <c r="AI128" s="112"/>
      <c r="AJ128" s="111"/>
      <c r="AK128" s="111"/>
      <c r="AL128" s="111"/>
      <c r="AM128" s="111"/>
      <c r="AN128" s="111"/>
      <c r="AO128" s="111"/>
      <c r="AP128" s="59"/>
      <c r="AQ128" s="59"/>
      <c r="AR128" s="59"/>
      <c r="AS128" s="59"/>
      <c r="AT128" s="59"/>
      <c r="AU128" s="59"/>
      <c r="AV128" s="59"/>
      <c r="AW128" s="59"/>
    </row>
    <row r="129" spans="1:49" x14ac:dyDescent="0.2">
      <c r="A129" s="31"/>
      <c r="B129" s="67">
        <v>111</v>
      </c>
      <c r="C129" s="51">
        <v>8</v>
      </c>
      <c r="D129" s="55">
        <v>13</v>
      </c>
      <c r="E129" s="37">
        <v>6</v>
      </c>
      <c r="F129" s="37">
        <f t="shared" si="16"/>
        <v>0</v>
      </c>
      <c r="G129" s="37" cm="1">
        <f t="array" ref="G129">IF(E129&lt;=INDEX($B$4:$B$17,C129),1,0)</f>
        <v>0</v>
      </c>
      <c r="H129" s="55">
        <v>0</v>
      </c>
      <c r="I129" s="56">
        <v>0</v>
      </c>
      <c r="J129" s="55">
        <f t="shared" si="18"/>
        <v>508</v>
      </c>
      <c r="K129" s="55">
        <f t="shared" si="17"/>
        <v>508</v>
      </c>
      <c r="L129" s="55">
        <f t="shared" si="19"/>
        <v>0</v>
      </c>
      <c r="M129" s="55" t="str">
        <f t="shared" si="20"/>
        <v/>
      </c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110"/>
      <c r="AD129" s="110"/>
      <c r="AE129" s="111"/>
      <c r="AF129" s="111"/>
      <c r="AG129" s="111"/>
      <c r="AH129" s="111"/>
      <c r="AI129" s="112"/>
      <c r="AJ129" s="111"/>
      <c r="AK129" s="111"/>
      <c r="AL129" s="111"/>
      <c r="AM129" s="111"/>
      <c r="AN129" s="111"/>
      <c r="AO129" s="111"/>
      <c r="AP129" s="59"/>
      <c r="AQ129" s="59"/>
      <c r="AR129" s="59"/>
      <c r="AS129" s="59"/>
      <c r="AT129" s="59"/>
      <c r="AU129" s="59"/>
      <c r="AV129" s="59"/>
      <c r="AW129" s="59"/>
    </row>
    <row r="130" spans="1:49" x14ac:dyDescent="0.2">
      <c r="A130" s="31"/>
      <c r="B130" s="70">
        <v>112</v>
      </c>
      <c r="C130" s="52">
        <v>8</v>
      </c>
      <c r="D130" s="57">
        <v>14</v>
      </c>
      <c r="E130" s="37">
        <v>7</v>
      </c>
      <c r="F130" s="37">
        <f t="shared" si="16"/>
        <v>0</v>
      </c>
      <c r="G130" s="37" cm="1">
        <f t="array" ref="G130">IF(E130&lt;=INDEX($B$4:$B$17,C130),1,0)</f>
        <v>0</v>
      </c>
      <c r="H130" s="57">
        <v>0</v>
      </c>
      <c r="I130" s="58">
        <v>0</v>
      </c>
      <c r="J130" s="55">
        <f t="shared" si="18"/>
        <v>508</v>
      </c>
      <c r="K130" s="55">
        <f t="shared" si="17"/>
        <v>508</v>
      </c>
      <c r="L130" s="55">
        <f t="shared" si="19"/>
        <v>0</v>
      </c>
      <c r="M130" s="55" t="str">
        <f t="shared" si="20"/>
        <v/>
      </c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110"/>
      <c r="AD130" s="110"/>
      <c r="AE130" s="111"/>
      <c r="AF130" s="111"/>
      <c r="AG130" s="111"/>
      <c r="AH130" s="111"/>
      <c r="AI130" s="112"/>
      <c r="AJ130" s="111"/>
      <c r="AK130" s="111"/>
      <c r="AL130" s="111"/>
      <c r="AM130" s="111"/>
      <c r="AN130" s="111"/>
      <c r="AO130" s="111"/>
      <c r="AP130" s="59"/>
      <c r="AQ130" s="59"/>
      <c r="AR130" s="59"/>
      <c r="AS130" s="59"/>
      <c r="AT130" s="59"/>
      <c r="AU130" s="59"/>
      <c r="AV130" s="59"/>
      <c r="AW130" s="59"/>
    </row>
    <row r="131" spans="1:49" x14ac:dyDescent="0.2">
      <c r="A131" s="31" t="s">
        <v>92</v>
      </c>
      <c r="B131" s="67">
        <v>113</v>
      </c>
      <c r="C131" s="50">
        <v>9</v>
      </c>
      <c r="D131" s="53">
        <v>1</v>
      </c>
      <c r="E131" s="35">
        <v>1</v>
      </c>
      <c r="F131" s="35">
        <f t="shared" si="16"/>
        <v>1</v>
      </c>
      <c r="G131" s="35" cm="1">
        <f t="array" ref="G131">IF(E131&lt;=INDEX($B$4:$B$17,C131),1,0)</f>
        <v>1</v>
      </c>
      <c r="H131" s="53">
        <v>140</v>
      </c>
      <c r="I131" s="54">
        <v>128</v>
      </c>
      <c r="J131" s="55">
        <f t="shared" si="18"/>
        <v>508</v>
      </c>
      <c r="K131" s="55">
        <f t="shared" si="17"/>
        <v>496</v>
      </c>
      <c r="L131" s="55">
        <f t="shared" si="19"/>
        <v>0</v>
      </c>
      <c r="M131" s="55">
        <f t="shared" si="20"/>
        <v>140</v>
      </c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110"/>
      <c r="AD131" s="110"/>
      <c r="AE131" s="111"/>
      <c r="AF131" s="111"/>
      <c r="AG131" s="111"/>
      <c r="AH131" s="111"/>
      <c r="AI131" s="111"/>
      <c r="AJ131" s="111"/>
      <c r="AK131" s="111"/>
      <c r="AL131" s="111"/>
      <c r="AM131" s="111"/>
      <c r="AN131" s="111"/>
      <c r="AO131" s="111"/>
      <c r="AP131" s="59"/>
      <c r="AQ131" s="59"/>
      <c r="AR131" s="59"/>
      <c r="AS131" s="59"/>
      <c r="AT131" s="59"/>
      <c r="AU131" s="59"/>
      <c r="AV131" s="59"/>
      <c r="AW131" s="59"/>
    </row>
    <row r="132" spans="1:49" x14ac:dyDescent="0.2">
      <c r="A132" s="31"/>
      <c r="B132" s="70">
        <v>114</v>
      </c>
      <c r="C132" s="51">
        <v>9</v>
      </c>
      <c r="D132" s="55">
        <v>2</v>
      </c>
      <c r="E132" s="37">
        <v>2</v>
      </c>
      <c r="F132" s="37">
        <f t="shared" si="16"/>
        <v>1</v>
      </c>
      <c r="G132" s="37" cm="1">
        <f t="array" ref="G132">IF(E132&lt;=INDEX($B$4:$B$17,C132),1,0)</f>
        <v>1</v>
      </c>
      <c r="H132" s="55">
        <v>158</v>
      </c>
      <c r="I132" s="56">
        <v>178</v>
      </c>
      <c r="J132" s="55">
        <f t="shared" si="18"/>
        <v>496</v>
      </c>
      <c r="K132" s="55">
        <f t="shared" si="17"/>
        <v>516</v>
      </c>
      <c r="L132" s="55">
        <f t="shared" si="19"/>
        <v>0</v>
      </c>
      <c r="M132" s="55">
        <f t="shared" si="20"/>
        <v>158</v>
      </c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110"/>
      <c r="AD132" s="110"/>
      <c r="AE132" s="111"/>
      <c r="AF132" s="111"/>
      <c r="AG132" s="111"/>
      <c r="AH132" s="111"/>
      <c r="AI132" s="111"/>
      <c r="AJ132" s="111"/>
      <c r="AK132" s="111"/>
      <c r="AL132" s="111"/>
      <c r="AM132" s="111"/>
      <c r="AN132" s="111"/>
      <c r="AO132" s="111"/>
      <c r="AP132" s="59"/>
      <c r="AQ132" s="59"/>
      <c r="AR132" s="59"/>
      <c r="AS132" s="59"/>
      <c r="AT132" s="59"/>
      <c r="AU132" s="59"/>
      <c r="AV132" s="59"/>
      <c r="AW132" s="59"/>
    </row>
    <row r="133" spans="1:49" x14ac:dyDescent="0.2">
      <c r="A133" s="31"/>
      <c r="B133" s="67">
        <v>115</v>
      </c>
      <c r="C133" s="51">
        <v>9</v>
      </c>
      <c r="D133" s="55">
        <v>3</v>
      </c>
      <c r="E133" s="37">
        <v>3</v>
      </c>
      <c r="F133" s="37">
        <f t="shared" si="16"/>
        <v>1</v>
      </c>
      <c r="G133" s="37" cm="1">
        <f t="array" ref="G133">IF(E133&lt;=INDEX($B$4:$B$17,C133),1,0)</f>
        <v>1</v>
      </c>
      <c r="H133" s="55">
        <v>143</v>
      </c>
      <c r="I133" s="56">
        <v>172</v>
      </c>
      <c r="J133" s="55">
        <f t="shared" si="18"/>
        <v>516</v>
      </c>
      <c r="K133" s="55">
        <f t="shared" si="17"/>
        <v>545</v>
      </c>
      <c r="L133" s="55">
        <f t="shared" si="19"/>
        <v>0</v>
      </c>
      <c r="M133" s="55">
        <f t="shared" si="20"/>
        <v>143</v>
      </c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110"/>
      <c r="AD133" s="110"/>
      <c r="AE133" s="111"/>
      <c r="AF133" s="111"/>
      <c r="AG133" s="111"/>
      <c r="AH133" s="111"/>
      <c r="AI133" s="111"/>
      <c r="AJ133" s="111"/>
      <c r="AK133" s="111"/>
      <c r="AL133" s="111"/>
      <c r="AM133" s="111"/>
      <c r="AN133" s="111"/>
      <c r="AO133" s="111"/>
      <c r="AP133" s="59"/>
      <c r="AQ133" s="59"/>
      <c r="AR133" s="59"/>
      <c r="AS133" s="59"/>
      <c r="AT133" s="59"/>
      <c r="AU133" s="59"/>
      <c r="AV133" s="59"/>
      <c r="AW133" s="59"/>
    </row>
    <row r="134" spans="1:49" x14ac:dyDescent="0.2">
      <c r="A134" s="31"/>
      <c r="B134" s="70">
        <v>116</v>
      </c>
      <c r="C134" s="51">
        <v>9</v>
      </c>
      <c r="D134" s="55">
        <v>4</v>
      </c>
      <c r="E134" s="37">
        <v>4</v>
      </c>
      <c r="F134" s="37">
        <f t="shared" si="16"/>
        <v>1</v>
      </c>
      <c r="G134" s="37" cm="1">
        <f t="array" ref="G134">IF(E134&lt;=INDEX($B$4:$B$17,C134),1,0)</f>
        <v>1</v>
      </c>
      <c r="H134" s="55">
        <v>15</v>
      </c>
      <c r="I134" s="56">
        <v>173</v>
      </c>
      <c r="J134" s="55">
        <f t="shared" si="18"/>
        <v>545</v>
      </c>
      <c r="K134" s="55">
        <f t="shared" si="17"/>
        <v>703</v>
      </c>
      <c r="L134" s="55">
        <f t="shared" si="19"/>
        <v>0</v>
      </c>
      <c r="M134" s="55">
        <f t="shared" si="20"/>
        <v>15</v>
      </c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110"/>
      <c r="AD134" s="110"/>
      <c r="AE134" s="111"/>
      <c r="AF134" s="111"/>
      <c r="AG134" s="111"/>
      <c r="AH134" s="111"/>
      <c r="AI134" s="111"/>
      <c r="AJ134" s="111"/>
      <c r="AK134" s="111"/>
      <c r="AL134" s="111"/>
      <c r="AM134" s="111"/>
      <c r="AN134" s="111"/>
      <c r="AO134" s="111"/>
      <c r="AP134" s="59"/>
      <c r="AQ134" s="59"/>
      <c r="AR134" s="59"/>
      <c r="AS134" s="59"/>
      <c r="AT134" s="59"/>
      <c r="AU134" s="59"/>
      <c r="AV134" s="59"/>
      <c r="AW134" s="59"/>
    </row>
    <row r="135" spans="1:49" x14ac:dyDescent="0.2">
      <c r="A135" s="31"/>
      <c r="B135" s="67">
        <v>117</v>
      </c>
      <c r="C135" s="51">
        <v>9</v>
      </c>
      <c r="D135" s="55">
        <v>5</v>
      </c>
      <c r="E135" s="37">
        <v>5</v>
      </c>
      <c r="F135" s="37">
        <f t="shared" si="16"/>
        <v>1</v>
      </c>
      <c r="G135" s="37" cm="1">
        <f t="array" ref="G135">IF(E135&lt;=INDEX($B$4:$B$17,C135),1,0)</f>
        <v>1</v>
      </c>
      <c r="H135" s="55">
        <v>55</v>
      </c>
      <c r="I135" s="56">
        <v>146</v>
      </c>
      <c r="J135" s="55">
        <f t="shared" si="18"/>
        <v>703</v>
      </c>
      <c r="K135" s="55">
        <f t="shared" si="17"/>
        <v>794</v>
      </c>
      <c r="L135" s="55">
        <f t="shared" si="19"/>
        <v>0</v>
      </c>
      <c r="M135" s="55">
        <f t="shared" si="20"/>
        <v>55</v>
      </c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110"/>
      <c r="AD135" s="110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59"/>
      <c r="AQ135" s="59"/>
      <c r="AR135" s="59"/>
      <c r="AS135" s="59"/>
      <c r="AT135" s="59"/>
      <c r="AU135" s="59"/>
      <c r="AV135" s="59"/>
      <c r="AW135" s="59"/>
    </row>
    <row r="136" spans="1:49" x14ac:dyDescent="0.2">
      <c r="A136" s="31"/>
      <c r="B136" s="70">
        <v>118</v>
      </c>
      <c r="C136" s="51">
        <v>9</v>
      </c>
      <c r="D136" s="55">
        <v>6</v>
      </c>
      <c r="E136" s="37">
        <v>6</v>
      </c>
      <c r="F136" s="37">
        <f t="shared" si="16"/>
        <v>0</v>
      </c>
      <c r="G136" s="37" cm="1">
        <f t="array" ref="G136">IF(E136&lt;=INDEX($B$4:$B$17,C136),1,0)</f>
        <v>0</v>
      </c>
      <c r="H136" s="55">
        <v>0</v>
      </c>
      <c r="I136" s="56">
        <v>0</v>
      </c>
      <c r="J136" s="55">
        <f t="shared" si="18"/>
        <v>794</v>
      </c>
      <c r="K136" s="55">
        <f t="shared" si="17"/>
        <v>794</v>
      </c>
      <c r="L136" s="55">
        <f t="shared" si="19"/>
        <v>0</v>
      </c>
      <c r="M136" s="55" t="str">
        <f t="shared" si="20"/>
        <v/>
      </c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110"/>
      <c r="AD136" s="110"/>
      <c r="AE136" s="111"/>
      <c r="AF136" s="111"/>
      <c r="AG136" s="111"/>
      <c r="AH136" s="111"/>
      <c r="AI136" s="111"/>
      <c r="AJ136" s="111"/>
      <c r="AK136" s="111"/>
      <c r="AL136" s="111"/>
      <c r="AM136" s="111"/>
      <c r="AN136" s="111"/>
      <c r="AO136" s="111"/>
      <c r="AP136" s="59"/>
      <c r="AQ136" s="59"/>
      <c r="AR136" s="59"/>
      <c r="AS136" s="59"/>
      <c r="AT136" s="59"/>
      <c r="AU136" s="59"/>
      <c r="AV136" s="59"/>
      <c r="AW136" s="59"/>
    </row>
    <row r="137" spans="1:49" x14ac:dyDescent="0.2">
      <c r="A137" s="31"/>
      <c r="B137" s="67">
        <v>119</v>
      </c>
      <c r="C137" s="51">
        <v>9</v>
      </c>
      <c r="D137" s="55">
        <v>7</v>
      </c>
      <c r="E137" s="37">
        <v>7</v>
      </c>
      <c r="F137" s="37">
        <f t="shared" si="16"/>
        <v>0</v>
      </c>
      <c r="G137" s="37" cm="1">
        <f t="array" ref="G137">IF(E137&lt;=INDEX($B$4:$B$17,C137),1,0)</f>
        <v>0</v>
      </c>
      <c r="H137" s="55">
        <v>0</v>
      </c>
      <c r="I137" s="56">
        <v>0</v>
      </c>
      <c r="J137" s="55">
        <f t="shared" si="18"/>
        <v>794</v>
      </c>
      <c r="K137" s="55">
        <f t="shared" si="17"/>
        <v>794</v>
      </c>
      <c r="L137" s="55">
        <f t="shared" si="19"/>
        <v>0</v>
      </c>
      <c r="M137" s="55" t="str">
        <f t="shared" si="20"/>
        <v/>
      </c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110"/>
      <c r="AD137" s="110"/>
      <c r="AE137" s="111"/>
      <c r="AF137" s="111"/>
      <c r="AG137" s="111"/>
      <c r="AH137" s="111"/>
      <c r="AI137" s="111"/>
      <c r="AJ137" s="111"/>
      <c r="AK137" s="111"/>
      <c r="AL137" s="111"/>
      <c r="AM137" s="111"/>
      <c r="AN137" s="111"/>
      <c r="AO137" s="111"/>
      <c r="AP137" s="59"/>
      <c r="AQ137" s="59"/>
      <c r="AR137" s="59"/>
      <c r="AS137" s="59"/>
      <c r="AT137" s="59"/>
      <c r="AU137" s="59"/>
      <c r="AV137" s="59"/>
      <c r="AW137" s="59"/>
    </row>
    <row r="138" spans="1:49" x14ac:dyDescent="0.2">
      <c r="A138" s="31"/>
      <c r="B138" s="70">
        <v>120</v>
      </c>
      <c r="C138" s="51">
        <v>9</v>
      </c>
      <c r="D138" s="55">
        <v>8</v>
      </c>
      <c r="E138" s="35">
        <v>1</v>
      </c>
      <c r="F138" s="35">
        <f t="shared" si="16"/>
        <v>1</v>
      </c>
      <c r="G138" s="37" cm="1">
        <f t="array" ref="G138">IF(E138&lt;=INDEX($B$4:$B$17,C138),1,0)</f>
        <v>1</v>
      </c>
      <c r="H138" s="55">
        <v>139</v>
      </c>
      <c r="I138" s="56">
        <v>155</v>
      </c>
      <c r="J138" s="55">
        <f t="shared" si="18"/>
        <v>794</v>
      </c>
      <c r="K138" s="55">
        <f t="shared" si="17"/>
        <v>810</v>
      </c>
      <c r="L138" s="55">
        <f t="shared" si="19"/>
        <v>0</v>
      </c>
      <c r="M138" s="55">
        <f t="shared" si="20"/>
        <v>139</v>
      </c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110"/>
      <c r="AD138" s="110"/>
      <c r="AE138" s="111"/>
      <c r="AF138" s="111"/>
      <c r="AG138" s="111"/>
      <c r="AH138" s="111"/>
      <c r="AI138" s="111"/>
      <c r="AJ138" s="111"/>
      <c r="AK138" s="111"/>
      <c r="AL138" s="111"/>
      <c r="AM138" s="111"/>
      <c r="AN138" s="111"/>
      <c r="AO138" s="111"/>
      <c r="AP138" s="59"/>
      <c r="AQ138" s="59"/>
      <c r="AR138" s="59"/>
      <c r="AS138" s="59"/>
      <c r="AT138" s="59"/>
      <c r="AU138" s="59"/>
      <c r="AV138" s="59"/>
      <c r="AW138" s="59"/>
    </row>
    <row r="139" spans="1:49" x14ac:dyDescent="0.2">
      <c r="A139" s="31"/>
      <c r="B139" s="67">
        <v>121</v>
      </c>
      <c r="C139" s="51">
        <v>9</v>
      </c>
      <c r="D139" s="55">
        <v>9</v>
      </c>
      <c r="E139" s="37">
        <v>2</v>
      </c>
      <c r="F139" s="37">
        <f t="shared" si="16"/>
        <v>1</v>
      </c>
      <c r="G139" s="37" cm="1">
        <f t="array" ref="G139">IF(E139&lt;=INDEX($B$4:$B$17,C139),1,0)</f>
        <v>1</v>
      </c>
      <c r="H139" s="55">
        <v>141</v>
      </c>
      <c r="I139" s="56">
        <v>133</v>
      </c>
      <c r="J139" s="55">
        <f t="shared" si="18"/>
        <v>810</v>
      </c>
      <c r="K139" s="55">
        <f t="shared" si="17"/>
        <v>802</v>
      </c>
      <c r="L139" s="55">
        <f t="shared" si="19"/>
        <v>0</v>
      </c>
      <c r="M139" s="55">
        <f t="shared" si="20"/>
        <v>141</v>
      </c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110"/>
      <c r="AD139" s="110"/>
      <c r="AE139" s="111"/>
      <c r="AF139" s="111"/>
      <c r="AG139" s="111"/>
      <c r="AH139" s="111"/>
      <c r="AI139" s="111"/>
      <c r="AJ139" s="111"/>
      <c r="AK139" s="111"/>
      <c r="AL139" s="111"/>
      <c r="AM139" s="111"/>
      <c r="AN139" s="111"/>
      <c r="AO139" s="111"/>
      <c r="AP139" s="59"/>
      <c r="AQ139" s="59"/>
      <c r="AR139" s="59"/>
      <c r="AS139" s="59"/>
      <c r="AT139" s="59"/>
      <c r="AU139" s="59"/>
      <c r="AV139" s="59"/>
      <c r="AW139" s="59"/>
    </row>
    <row r="140" spans="1:49" x14ac:dyDescent="0.2">
      <c r="A140" s="31"/>
      <c r="B140" s="70">
        <v>122</v>
      </c>
      <c r="C140" s="51">
        <v>9</v>
      </c>
      <c r="D140" s="55">
        <v>10</v>
      </c>
      <c r="E140" s="37">
        <v>3</v>
      </c>
      <c r="F140" s="37">
        <f t="shared" si="16"/>
        <v>1</v>
      </c>
      <c r="G140" s="37" cm="1">
        <f t="array" ref="G140">IF(E140&lt;=INDEX($B$4:$B$17,C140),1,0)</f>
        <v>1</v>
      </c>
      <c r="H140" s="55">
        <v>149</v>
      </c>
      <c r="I140" s="56">
        <v>169</v>
      </c>
      <c r="J140" s="55">
        <f t="shared" si="18"/>
        <v>802</v>
      </c>
      <c r="K140" s="55">
        <f t="shared" si="17"/>
        <v>822</v>
      </c>
      <c r="L140" s="55">
        <f t="shared" si="19"/>
        <v>0</v>
      </c>
      <c r="M140" s="55">
        <f t="shared" si="20"/>
        <v>149</v>
      </c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110"/>
      <c r="AD140" s="110"/>
      <c r="AE140" s="111"/>
      <c r="AF140" s="111"/>
      <c r="AG140" s="111"/>
      <c r="AH140" s="111"/>
      <c r="AI140" s="111"/>
      <c r="AJ140" s="111"/>
      <c r="AK140" s="111"/>
      <c r="AL140" s="111"/>
      <c r="AM140" s="111"/>
      <c r="AN140" s="111"/>
      <c r="AO140" s="111"/>
      <c r="AP140" s="59"/>
      <c r="AQ140" s="59"/>
      <c r="AR140" s="59"/>
      <c r="AS140" s="59"/>
      <c r="AT140" s="59"/>
      <c r="AU140" s="59"/>
      <c r="AV140" s="59"/>
      <c r="AW140" s="59"/>
    </row>
    <row r="141" spans="1:49" x14ac:dyDescent="0.2">
      <c r="A141" s="31"/>
      <c r="B141" s="67">
        <v>123</v>
      </c>
      <c r="C141" s="51">
        <v>9</v>
      </c>
      <c r="D141" s="55">
        <v>11</v>
      </c>
      <c r="E141" s="37">
        <v>4</v>
      </c>
      <c r="F141" s="37">
        <f t="shared" si="16"/>
        <v>1</v>
      </c>
      <c r="G141" s="37" cm="1">
        <f t="array" ref="G141">IF(E141&lt;=INDEX($B$4:$B$17,C141),1,0)</f>
        <v>1</v>
      </c>
      <c r="H141" s="55">
        <v>135</v>
      </c>
      <c r="I141" s="56">
        <v>133</v>
      </c>
      <c r="J141" s="55">
        <f t="shared" si="18"/>
        <v>822</v>
      </c>
      <c r="K141" s="55">
        <f t="shared" si="17"/>
        <v>820</v>
      </c>
      <c r="L141" s="55">
        <f t="shared" si="19"/>
        <v>0</v>
      </c>
      <c r="M141" s="55">
        <f t="shared" si="20"/>
        <v>135</v>
      </c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110"/>
      <c r="AD141" s="110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59"/>
      <c r="AQ141" s="59"/>
      <c r="AR141" s="59"/>
      <c r="AS141" s="59"/>
      <c r="AT141" s="59"/>
      <c r="AU141" s="59"/>
      <c r="AV141" s="59"/>
      <c r="AW141" s="59"/>
    </row>
    <row r="142" spans="1:49" x14ac:dyDescent="0.2">
      <c r="A142" s="31"/>
      <c r="B142" s="70">
        <v>124</v>
      </c>
      <c r="C142" s="51">
        <v>9</v>
      </c>
      <c r="D142" s="55">
        <v>12</v>
      </c>
      <c r="E142" s="37">
        <v>5</v>
      </c>
      <c r="F142" s="37">
        <f t="shared" si="16"/>
        <v>1</v>
      </c>
      <c r="G142" s="37" cm="1">
        <f t="array" ref="G142">IF(E142&lt;=INDEX($B$4:$B$17,C142),1,0)</f>
        <v>1</v>
      </c>
      <c r="H142" s="55">
        <v>144</v>
      </c>
      <c r="I142" s="56">
        <v>191</v>
      </c>
      <c r="J142" s="55">
        <f t="shared" si="18"/>
        <v>820</v>
      </c>
      <c r="K142" s="55">
        <f t="shared" si="17"/>
        <v>867</v>
      </c>
      <c r="L142" s="55">
        <f t="shared" si="19"/>
        <v>0</v>
      </c>
      <c r="M142" s="55">
        <f t="shared" si="20"/>
        <v>144</v>
      </c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110"/>
      <c r="AD142" s="110"/>
      <c r="AE142" s="111"/>
      <c r="AF142" s="111"/>
      <c r="AG142" s="111"/>
      <c r="AH142" s="111"/>
      <c r="AI142" s="111"/>
      <c r="AJ142" s="111"/>
      <c r="AK142" s="111"/>
      <c r="AL142" s="111"/>
      <c r="AM142" s="111"/>
      <c r="AN142" s="111"/>
      <c r="AO142" s="111"/>
      <c r="AP142" s="59"/>
      <c r="AQ142" s="59"/>
      <c r="AR142" s="59"/>
      <c r="AS142" s="59"/>
      <c r="AT142" s="59"/>
      <c r="AU142" s="59"/>
      <c r="AV142" s="59"/>
      <c r="AW142" s="59"/>
    </row>
    <row r="143" spans="1:49" x14ac:dyDescent="0.2">
      <c r="A143" s="31"/>
      <c r="B143" s="67">
        <v>125</v>
      </c>
      <c r="C143" s="51">
        <v>9</v>
      </c>
      <c r="D143" s="55">
        <v>13</v>
      </c>
      <c r="E143" s="37">
        <v>6</v>
      </c>
      <c r="F143" s="37">
        <f t="shared" si="16"/>
        <v>0</v>
      </c>
      <c r="G143" s="37" cm="1">
        <f t="array" ref="G143">IF(E143&lt;=INDEX($B$4:$B$17,C143),1,0)</f>
        <v>0</v>
      </c>
      <c r="H143" s="55">
        <v>0</v>
      </c>
      <c r="I143" s="56">
        <v>0</v>
      </c>
      <c r="J143" s="55">
        <f t="shared" si="18"/>
        <v>867</v>
      </c>
      <c r="K143" s="55">
        <f t="shared" si="17"/>
        <v>867</v>
      </c>
      <c r="L143" s="55">
        <f t="shared" si="19"/>
        <v>0</v>
      </c>
      <c r="M143" s="55" t="str">
        <f t="shared" si="20"/>
        <v/>
      </c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110"/>
      <c r="AD143" s="110"/>
      <c r="AE143" s="111"/>
      <c r="AF143" s="111"/>
      <c r="AG143" s="111"/>
      <c r="AH143" s="111"/>
      <c r="AI143" s="111"/>
      <c r="AJ143" s="111"/>
      <c r="AK143" s="111"/>
      <c r="AL143" s="111"/>
      <c r="AM143" s="111"/>
      <c r="AN143" s="111"/>
      <c r="AO143" s="111"/>
      <c r="AP143" s="59"/>
      <c r="AQ143" s="59"/>
      <c r="AR143" s="59"/>
      <c r="AS143" s="59"/>
      <c r="AT143" s="59"/>
      <c r="AU143" s="59"/>
      <c r="AV143" s="59"/>
      <c r="AW143" s="59"/>
    </row>
    <row r="144" spans="1:49" x14ac:dyDescent="0.2">
      <c r="A144" s="31"/>
      <c r="B144" s="70">
        <v>126</v>
      </c>
      <c r="C144" s="52">
        <v>9</v>
      </c>
      <c r="D144" s="57">
        <v>14</v>
      </c>
      <c r="E144" s="37">
        <v>7</v>
      </c>
      <c r="F144" s="37">
        <f t="shared" si="16"/>
        <v>0</v>
      </c>
      <c r="G144" s="37" cm="1">
        <f t="array" ref="G144">IF(E144&lt;=INDEX($B$4:$B$17,C144),1,0)</f>
        <v>0</v>
      </c>
      <c r="H144" s="57">
        <v>0</v>
      </c>
      <c r="I144" s="58">
        <v>0</v>
      </c>
      <c r="J144" s="55">
        <f t="shared" si="18"/>
        <v>867</v>
      </c>
      <c r="K144" s="55">
        <f t="shared" si="17"/>
        <v>867</v>
      </c>
      <c r="L144" s="55">
        <f t="shared" si="19"/>
        <v>0</v>
      </c>
      <c r="M144" s="55" t="str">
        <f t="shared" si="20"/>
        <v/>
      </c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110"/>
      <c r="AD144" s="110"/>
      <c r="AE144" s="111"/>
      <c r="AF144" s="111"/>
      <c r="AG144" s="111"/>
      <c r="AH144" s="111"/>
      <c r="AI144" s="111"/>
      <c r="AJ144" s="111"/>
      <c r="AK144" s="111"/>
      <c r="AL144" s="111"/>
      <c r="AM144" s="111"/>
      <c r="AN144" s="111"/>
      <c r="AO144" s="111"/>
      <c r="AP144" s="59"/>
      <c r="AQ144" s="59"/>
      <c r="AR144" s="59"/>
      <c r="AS144" s="59"/>
      <c r="AT144" s="59"/>
      <c r="AU144" s="59"/>
      <c r="AV144" s="59"/>
      <c r="AW144" s="59"/>
    </row>
    <row r="145" spans="1:49" x14ac:dyDescent="0.2">
      <c r="A145" s="31" t="s">
        <v>75</v>
      </c>
      <c r="B145" s="67">
        <v>127</v>
      </c>
      <c r="C145" s="50">
        <v>10</v>
      </c>
      <c r="D145" s="53">
        <v>1</v>
      </c>
      <c r="E145" s="35">
        <v>1</v>
      </c>
      <c r="F145" s="35">
        <f t="shared" si="16"/>
        <v>1</v>
      </c>
      <c r="G145" s="35" cm="1">
        <f t="array" ref="G145">IF(E145&lt;=INDEX($B$4:$B$17,C145),1,0)</f>
        <v>1</v>
      </c>
      <c r="H145" s="53">
        <v>132</v>
      </c>
      <c r="I145" s="54">
        <v>159</v>
      </c>
      <c r="J145" s="55">
        <f t="shared" si="18"/>
        <v>867</v>
      </c>
      <c r="K145" s="55">
        <f t="shared" si="17"/>
        <v>894</v>
      </c>
      <c r="L145" s="55">
        <f t="shared" si="19"/>
        <v>0</v>
      </c>
      <c r="M145" s="55">
        <f t="shared" si="20"/>
        <v>132</v>
      </c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110"/>
      <c r="AD145" s="110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59"/>
      <c r="AQ145" s="59"/>
      <c r="AR145" s="59"/>
      <c r="AS145" s="59"/>
      <c r="AT145" s="59"/>
      <c r="AU145" s="59"/>
      <c r="AV145" s="59"/>
      <c r="AW145" s="59"/>
    </row>
    <row r="146" spans="1:49" x14ac:dyDescent="0.2">
      <c r="A146" s="31"/>
      <c r="B146" s="70">
        <v>128</v>
      </c>
      <c r="C146" s="51">
        <v>10</v>
      </c>
      <c r="D146" s="55">
        <v>2</v>
      </c>
      <c r="E146" s="37">
        <v>2</v>
      </c>
      <c r="F146" s="37">
        <f t="shared" si="16"/>
        <v>1</v>
      </c>
      <c r="G146" s="37" cm="1">
        <f t="array" ref="G146">IF(E146&lt;=INDEX($B$4:$B$17,C146),1,0)</f>
        <v>1</v>
      </c>
      <c r="H146" s="55">
        <v>126</v>
      </c>
      <c r="I146" s="56">
        <v>134</v>
      </c>
      <c r="J146" s="55">
        <f t="shared" si="18"/>
        <v>894</v>
      </c>
      <c r="K146" s="55">
        <f t="shared" si="17"/>
        <v>902</v>
      </c>
      <c r="L146" s="55">
        <f t="shared" si="19"/>
        <v>0</v>
      </c>
      <c r="M146" s="55">
        <f t="shared" si="20"/>
        <v>126</v>
      </c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110"/>
      <c r="AD146" s="110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59"/>
      <c r="AQ146" s="59"/>
      <c r="AR146" s="59"/>
      <c r="AS146" s="59"/>
      <c r="AT146" s="59"/>
      <c r="AU146" s="59"/>
      <c r="AV146" s="59"/>
      <c r="AW146" s="59"/>
    </row>
    <row r="147" spans="1:49" x14ac:dyDescent="0.2">
      <c r="A147" s="31"/>
      <c r="B147" s="67">
        <v>129</v>
      </c>
      <c r="C147" s="51">
        <v>10</v>
      </c>
      <c r="D147" s="55">
        <v>3</v>
      </c>
      <c r="E147" s="37">
        <v>3</v>
      </c>
      <c r="F147" s="37">
        <f t="shared" si="16"/>
        <v>1</v>
      </c>
      <c r="G147" s="37" cm="1">
        <f t="array" ref="G147">IF(E147&lt;=INDEX($B$4:$B$17,C147),1,0)</f>
        <v>1</v>
      </c>
      <c r="H147" s="55">
        <v>161</v>
      </c>
      <c r="I147" s="56">
        <v>23</v>
      </c>
      <c r="J147" s="55">
        <f t="shared" si="18"/>
        <v>902</v>
      </c>
      <c r="K147" s="55">
        <f t="shared" si="17"/>
        <v>764</v>
      </c>
      <c r="L147" s="55">
        <f t="shared" si="19"/>
        <v>0</v>
      </c>
      <c r="M147" s="55">
        <f t="shared" si="20"/>
        <v>161</v>
      </c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110"/>
      <c r="AD147" s="110"/>
      <c r="AE147" s="111"/>
      <c r="AF147" s="111"/>
      <c r="AG147" s="111"/>
      <c r="AH147" s="111"/>
      <c r="AI147" s="111"/>
      <c r="AJ147" s="111"/>
      <c r="AK147" s="111"/>
      <c r="AL147" s="111"/>
      <c r="AM147" s="111"/>
      <c r="AN147" s="111"/>
      <c r="AO147" s="111"/>
      <c r="AP147" s="59"/>
      <c r="AQ147" s="59"/>
      <c r="AR147" s="59"/>
      <c r="AS147" s="59"/>
      <c r="AT147" s="59"/>
      <c r="AU147" s="59"/>
      <c r="AV147" s="59"/>
      <c r="AW147" s="59"/>
    </row>
    <row r="148" spans="1:49" x14ac:dyDescent="0.2">
      <c r="A148" s="31"/>
      <c r="B148" s="70">
        <v>130</v>
      </c>
      <c r="C148" s="51">
        <v>10</v>
      </c>
      <c r="D148" s="55">
        <v>4</v>
      </c>
      <c r="E148" s="37">
        <v>4</v>
      </c>
      <c r="F148" s="37">
        <f t="shared" ref="F148:F211" si="21">IF(I148&gt;0,1,0)</f>
        <v>1</v>
      </c>
      <c r="G148" s="37" cm="1">
        <f t="array" ref="G148">IF(E148&lt;=INDEX($B$4:$B$17,C148),1,0)</f>
        <v>1</v>
      </c>
      <c r="H148" s="55">
        <v>140</v>
      </c>
      <c r="I148" s="56">
        <v>211</v>
      </c>
      <c r="J148" s="55">
        <f t="shared" si="18"/>
        <v>764</v>
      </c>
      <c r="K148" s="55">
        <f t="shared" ref="K148:K211" si="22">J148+I148-H148</f>
        <v>835</v>
      </c>
      <c r="L148" s="55">
        <f t="shared" si="19"/>
        <v>0</v>
      </c>
      <c r="M148" s="55">
        <f t="shared" si="20"/>
        <v>140</v>
      </c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110"/>
      <c r="AD148" s="110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  <c r="AP148" s="59"/>
      <c r="AQ148" s="59"/>
      <c r="AR148" s="59"/>
      <c r="AS148" s="59"/>
      <c r="AT148" s="59"/>
      <c r="AU148" s="59"/>
      <c r="AV148" s="59"/>
      <c r="AW148" s="59"/>
    </row>
    <row r="149" spans="1:49" x14ac:dyDescent="0.2">
      <c r="A149" s="31"/>
      <c r="B149" s="67">
        <v>131</v>
      </c>
      <c r="C149" s="51">
        <v>10</v>
      </c>
      <c r="D149" s="55">
        <v>5</v>
      </c>
      <c r="E149" s="37">
        <v>5</v>
      </c>
      <c r="F149" s="37">
        <f t="shared" si="21"/>
        <v>1</v>
      </c>
      <c r="G149" s="37" cm="1">
        <f t="array" ref="G149">IF(E149&lt;=INDEX($B$4:$B$17,C149),1,0)</f>
        <v>1</v>
      </c>
      <c r="H149" s="55">
        <v>159</v>
      </c>
      <c r="I149" s="56">
        <v>162</v>
      </c>
      <c r="J149" s="55">
        <f t="shared" ref="J149:J212" si="23">K148</f>
        <v>835</v>
      </c>
      <c r="K149" s="55">
        <f t="shared" si="22"/>
        <v>838</v>
      </c>
      <c r="L149" s="55">
        <f t="shared" ref="L149:L212" si="24">IF(AND(H149=J149,G149),1,0)</f>
        <v>0</v>
      </c>
      <c r="M149" s="55">
        <f t="shared" ref="M149:M212" si="25">IF(OR(G149=0,L149=1),"",H149)</f>
        <v>159</v>
      </c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110"/>
      <c r="AD149" s="110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  <c r="AP149" s="59"/>
      <c r="AQ149" s="59"/>
      <c r="AR149" s="59"/>
      <c r="AS149" s="59"/>
      <c r="AT149" s="59"/>
      <c r="AU149" s="59"/>
      <c r="AV149" s="59"/>
      <c r="AW149" s="59"/>
    </row>
    <row r="150" spans="1:49" x14ac:dyDescent="0.2">
      <c r="A150" s="31"/>
      <c r="B150" s="70">
        <v>132</v>
      </c>
      <c r="C150" s="51">
        <v>10</v>
      </c>
      <c r="D150" s="55">
        <v>6</v>
      </c>
      <c r="E150" s="37">
        <v>6</v>
      </c>
      <c r="F150" s="37">
        <f t="shared" si="21"/>
        <v>0</v>
      </c>
      <c r="G150" s="37" cm="1">
        <f t="array" ref="G150">IF(E150&lt;=INDEX($B$4:$B$17,C150),1,0)</f>
        <v>0</v>
      </c>
      <c r="H150" s="55">
        <v>0</v>
      </c>
      <c r="I150" s="56">
        <v>0</v>
      </c>
      <c r="J150" s="55">
        <f t="shared" si="23"/>
        <v>838</v>
      </c>
      <c r="K150" s="55">
        <f t="shared" si="22"/>
        <v>838</v>
      </c>
      <c r="L150" s="55">
        <f t="shared" si="24"/>
        <v>0</v>
      </c>
      <c r="M150" s="55" t="str">
        <f t="shared" si="25"/>
        <v/>
      </c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110"/>
      <c r="AD150" s="110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  <c r="AP150" s="59"/>
      <c r="AQ150" s="59"/>
      <c r="AR150" s="59"/>
      <c r="AS150" s="59"/>
      <c r="AT150" s="59"/>
      <c r="AU150" s="59"/>
      <c r="AV150" s="59"/>
      <c r="AW150" s="59"/>
    </row>
    <row r="151" spans="1:49" x14ac:dyDescent="0.2">
      <c r="A151" s="31"/>
      <c r="B151" s="67">
        <v>133</v>
      </c>
      <c r="C151" s="51">
        <v>10</v>
      </c>
      <c r="D151" s="55">
        <v>7</v>
      </c>
      <c r="E151" s="37">
        <v>7</v>
      </c>
      <c r="F151" s="37">
        <f t="shared" si="21"/>
        <v>0</v>
      </c>
      <c r="G151" s="37" cm="1">
        <f t="array" ref="G151">IF(E151&lt;=INDEX($B$4:$B$17,C151),1,0)</f>
        <v>0</v>
      </c>
      <c r="H151" s="55">
        <v>0</v>
      </c>
      <c r="I151" s="56">
        <v>0</v>
      </c>
      <c r="J151" s="55">
        <f t="shared" si="23"/>
        <v>838</v>
      </c>
      <c r="K151" s="55">
        <f t="shared" si="22"/>
        <v>838</v>
      </c>
      <c r="L151" s="55">
        <f t="shared" si="24"/>
        <v>0</v>
      </c>
      <c r="M151" s="55" t="str">
        <f t="shared" si="25"/>
        <v/>
      </c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110"/>
      <c r="AD151" s="110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59"/>
      <c r="AQ151" s="59"/>
      <c r="AR151" s="59"/>
      <c r="AS151" s="59"/>
      <c r="AT151" s="59"/>
      <c r="AU151" s="59"/>
      <c r="AV151" s="59"/>
      <c r="AW151" s="59"/>
    </row>
    <row r="152" spans="1:49" x14ac:dyDescent="0.2">
      <c r="A152" s="31"/>
      <c r="B152" s="70">
        <v>134</v>
      </c>
      <c r="C152" s="51">
        <v>10</v>
      </c>
      <c r="D152" s="55">
        <v>8</v>
      </c>
      <c r="E152" s="35">
        <v>1</v>
      </c>
      <c r="F152" s="35">
        <f t="shared" si="21"/>
        <v>1</v>
      </c>
      <c r="G152" s="37" cm="1">
        <f t="array" ref="G152">IF(E152&lt;=INDEX($B$4:$B$17,C152),1,0)</f>
        <v>1</v>
      </c>
      <c r="H152" s="55">
        <v>144</v>
      </c>
      <c r="I152" s="56">
        <v>156</v>
      </c>
      <c r="J152" s="55">
        <f t="shared" si="23"/>
        <v>838</v>
      </c>
      <c r="K152" s="55">
        <f t="shared" si="22"/>
        <v>850</v>
      </c>
      <c r="L152" s="55">
        <f t="shared" si="24"/>
        <v>0</v>
      </c>
      <c r="M152" s="55">
        <f t="shared" si="25"/>
        <v>144</v>
      </c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110"/>
      <c r="AD152" s="110"/>
      <c r="AE152" s="111"/>
      <c r="AF152" s="111"/>
      <c r="AG152" s="111"/>
      <c r="AH152" s="111"/>
      <c r="AI152" s="111"/>
      <c r="AJ152" s="111"/>
      <c r="AK152" s="111"/>
      <c r="AL152" s="111"/>
      <c r="AM152" s="111"/>
      <c r="AN152" s="111"/>
      <c r="AO152" s="111"/>
      <c r="AP152" s="59"/>
      <c r="AQ152" s="59"/>
      <c r="AR152" s="59"/>
      <c r="AS152" s="59"/>
      <c r="AT152" s="59"/>
      <c r="AU152" s="59"/>
      <c r="AV152" s="59"/>
      <c r="AW152" s="59"/>
    </row>
    <row r="153" spans="1:49" x14ac:dyDescent="0.2">
      <c r="A153" s="31"/>
      <c r="B153" s="67">
        <v>135</v>
      </c>
      <c r="C153" s="51">
        <v>10</v>
      </c>
      <c r="D153" s="55">
        <v>9</v>
      </c>
      <c r="E153" s="37">
        <v>2</v>
      </c>
      <c r="F153" s="37">
        <f t="shared" si="21"/>
        <v>1</v>
      </c>
      <c r="G153" s="37" cm="1">
        <f t="array" ref="G153">IF(E153&lt;=INDEX($B$4:$B$17,C153),1,0)</f>
        <v>1</v>
      </c>
      <c r="H153" s="55">
        <v>150</v>
      </c>
      <c r="I153" s="56">
        <v>181</v>
      </c>
      <c r="J153" s="55">
        <f t="shared" si="23"/>
        <v>850</v>
      </c>
      <c r="K153" s="55">
        <f t="shared" si="22"/>
        <v>881</v>
      </c>
      <c r="L153" s="55">
        <f t="shared" si="24"/>
        <v>0</v>
      </c>
      <c r="M153" s="55">
        <f t="shared" si="25"/>
        <v>150</v>
      </c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110"/>
      <c r="AD153" s="110"/>
      <c r="AE153" s="111"/>
      <c r="AF153" s="111"/>
      <c r="AG153" s="111"/>
      <c r="AH153" s="111"/>
      <c r="AI153" s="111"/>
      <c r="AJ153" s="111"/>
      <c r="AK153" s="111"/>
      <c r="AL153" s="111"/>
      <c r="AM153" s="111"/>
      <c r="AN153" s="111"/>
      <c r="AO153" s="111"/>
      <c r="AP153" s="59"/>
      <c r="AQ153" s="59"/>
      <c r="AR153" s="59"/>
      <c r="AS153" s="59"/>
      <c r="AT153" s="59"/>
      <c r="AU153" s="59"/>
      <c r="AV153" s="59"/>
      <c r="AW153" s="59"/>
    </row>
    <row r="154" spans="1:49" x14ac:dyDescent="0.2">
      <c r="A154" s="31"/>
      <c r="B154" s="70">
        <v>136</v>
      </c>
      <c r="C154" s="51">
        <v>10</v>
      </c>
      <c r="D154" s="55">
        <v>10</v>
      </c>
      <c r="E154" s="37">
        <v>3</v>
      </c>
      <c r="F154" s="37">
        <f t="shared" si="21"/>
        <v>1</v>
      </c>
      <c r="G154" s="37" cm="1">
        <f t="array" ref="G154">IF(E154&lt;=INDEX($B$4:$B$17,C154),1,0)</f>
        <v>1</v>
      </c>
      <c r="H154" s="55">
        <v>140</v>
      </c>
      <c r="I154" s="56">
        <v>155</v>
      </c>
      <c r="J154" s="55">
        <f t="shared" si="23"/>
        <v>881</v>
      </c>
      <c r="K154" s="55">
        <f t="shared" si="22"/>
        <v>896</v>
      </c>
      <c r="L154" s="55">
        <f t="shared" si="24"/>
        <v>0</v>
      </c>
      <c r="M154" s="55">
        <f t="shared" si="25"/>
        <v>140</v>
      </c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110"/>
      <c r="AD154" s="110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  <c r="AP154" s="59"/>
      <c r="AQ154" s="59"/>
      <c r="AR154" s="59"/>
      <c r="AS154" s="59"/>
      <c r="AT154" s="59"/>
      <c r="AU154" s="59"/>
      <c r="AV154" s="59"/>
      <c r="AW154" s="59"/>
    </row>
    <row r="155" spans="1:49" x14ac:dyDescent="0.2">
      <c r="A155" s="31"/>
      <c r="B155" s="67">
        <v>137</v>
      </c>
      <c r="C155" s="51">
        <v>10</v>
      </c>
      <c r="D155" s="55">
        <v>11</v>
      </c>
      <c r="E155" s="37">
        <v>4</v>
      </c>
      <c r="F155" s="37">
        <f t="shared" si="21"/>
        <v>1</v>
      </c>
      <c r="G155" s="37" cm="1">
        <f t="array" ref="G155">IF(E155&lt;=INDEX($B$4:$B$17,C155),1,0)</f>
        <v>1</v>
      </c>
      <c r="H155" s="55">
        <v>142</v>
      </c>
      <c r="I155" s="56">
        <v>143</v>
      </c>
      <c r="J155" s="55">
        <f t="shared" si="23"/>
        <v>896</v>
      </c>
      <c r="K155" s="55">
        <f t="shared" si="22"/>
        <v>897</v>
      </c>
      <c r="L155" s="55">
        <f t="shared" si="24"/>
        <v>0</v>
      </c>
      <c r="M155" s="55">
        <f t="shared" si="25"/>
        <v>142</v>
      </c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110"/>
      <c r="AD155" s="110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  <c r="AP155" s="59"/>
      <c r="AQ155" s="59"/>
      <c r="AR155" s="59"/>
      <c r="AS155" s="59"/>
      <c r="AT155" s="59"/>
      <c r="AU155" s="59"/>
      <c r="AV155" s="59"/>
      <c r="AW155" s="59"/>
    </row>
    <row r="156" spans="1:49" x14ac:dyDescent="0.2">
      <c r="A156" s="31"/>
      <c r="B156" s="70">
        <v>138</v>
      </c>
      <c r="C156" s="51">
        <v>10</v>
      </c>
      <c r="D156" s="55">
        <v>12</v>
      </c>
      <c r="E156" s="37">
        <v>5</v>
      </c>
      <c r="F156" s="37">
        <f t="shared" si="21"/>
        <v>1</v>
      </c>
      <c r="G156" s="37" cm="1">
        <f t="array" ref="G156">IF(E156&lt;=INDEX($B$4:$B$17,C156),1,0)</f>
        <v>1</v>
      </c>
      <c r="H156" s="55">
        <v>142</v>
      </c>
      <c r="I156" s="56">
        <v>141</v>
      </c>
      <c r="J156" s="55">
        <f t="shared" si="23"/>
        <v>897</v>
      </c>
      <c r="K156" s="55">
        <f t="shared" si="22"/>
        <v>896</v>
      </c>
      <c r="L156" s="55">
        <f t="shared" si="24"/>
        <v>0</v>
      </c>
      <c r="M156" s="55">
        <f t="shared" si="25"/>
        <v>142</v>
      </c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110"/>
      <c r="AD156" s="110"/>
      <c r="AE156" s="111"/>
      <c r="AF156" s="111"/>
      <c r="AG156" s="111"/>
      <c r="AH156" s="111"/>
      <c r="AI156" s="111"/>
      <c r="AJ156" s="111"/>
      <c r="AK156" s="111"/>
      <c r="AL156" s="111"/>
      <c r="AM156" s="111"/>
      <c r="AN156" s="111"/>
      <c r="AO156" s="111"/>
      <c r="AP156" s="59"/>
      <c r="AQ156" s="59"/>
      <c r="AR156" s="59"/>
      <c r="AS156" s="59"/>
      <c r="AT156" s="59"/>
      <c r="AU156" s="59"/>
      <c r="AV156" s="59"/>
      <c r="AW156" s="59"/>
    </row>
    <row r="157" spans="1:49" x14ac:dyDescent="0.2">
      <c r="A157" s="31"/>
      <c r="B157" s="67">
        <v>139</v>
      </c>
      <c r="C157" s="51">
        <v>10</v>
      </c>
      <c r="D157" s="55">
        <v>13</v>
      </c>
      <c r="E157" s="37">
        <v>6</v>
      </c>
      <c r="F157" s="37">
        <f t="shared" si="21"/>
        <v>0</v>
      </c>
      <c r="G157" s="37" cm="1">
        <f t="array" ref="G157">IF(E157&lt;=INDEX($B$4:$B$17,C157),1,0)</f>
        <v>0</v>
      </c>
      <c r="H157" s="55">
        <v>0</v>
      </c>
      <c r="I157" s="56">
        <v>0</v>
      </c>
      <c r="J157" s="55">
        <f t="shared" si="23"/>
        <v>896</v>
      </c>
      <c r="K157" s="55">
        <f t="shared" si="22"/>
        <v>896</v>
      </c>
      <c r="L157" s="55">
        <f t="shared" si="24"/>
        <v>0</v>
      </c>
      <c r="M157" s="55" t="str">
        <f t="shared" si="25"/>
        <v/>
      </c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110"/>
      <c r="AD157" s="110"/>
      <c r="AE157" s="111"/>
      <c r="AF157" s="111"/>
      <c r="AG157" s="111"/>
      <c r="AH157" s="111"/>
      <c r="AI157" s="111"/>
      <c r="AJ157" s="111"/>
      <c r="AK157" s="111"/>
      <c r="AL157" s="111"/>
      <c r="AM157" s="111"/>
      <c r="AN157" s="111"/>
      <c r="AO157" s="111"/>
      <c r="AP157" s="59"/>
      <c r="AQ157" s="59"/>
      <c r="AR157" s="59"/>
      <c r="AS157" s="59"/>
      <c r="AT157" s="59"/>
      <c r="AU157" s="59"/>
      <c r="AV157" s="59"/>
      <c r="AW157" s="59"/>
    </row>
    <row r="158" spans="1:49" x14ac:dyDescent="0.2">
      <c r="A158" s="31"/>
      <c r="B158" s="70">
        <v>140</v>
      </c>
      <c r="C158" s="52">
        <v>10</v>
      </c>
      <c r="D158" s="57">
        <v>14</v>
      </c>
      <c r="E158" s="37">
        <v>7</v>
      </c>
      <c r="F158" s="37">
        <f t="shared" si="21"/>
        <v>0</v>
      </c>
      <c r="G158" s="37" cm="1">
        <f t="array" ref="G158">IF(E158&lt;=INDEX($B$4:$B$17,C158),1,0)</f>
        <v>0</v>
      </c>
      <c r="H158" s="57">
        <v>0</v>
      </c>
      <c r="I158" s="58">
        <v>0</v>
      </c>
      <c r="J158" s="55">
        <f t="shared" si="23"/>
        <v>896</v>
      </c>
      <c r="K158" s="55">
        <f t="shared" si="22"/>
        <v>896</v>
      </c>
      <c r="L158" s="55">
        <f t="shared" si="24"/>
        <v>0</v>
      </c>
      <c r="M158" s="55" t="str">
        <f t="shared" si="25"/>
        <v/>
      </c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110"/>
      <c r="AD158" s="110"/>
      <c r="AE158" s="111"/>
      <c r="AF158" s="111"/>
      <c r="AG158" s="111"/>
      <c r="AH158" s="111"/>
      <c r="AI158" s="111"/>
      <c r="AJ158" s="111"/>
      <c r="AK158" s="111"/>
      <c r="AL158" s="111"/>
      <c r="AM158" s="111"/>
      <c r="AN158" s="111"/>
      <c r="AO158" s="111"/>
      <c r="AP158" s="59"/>
      <c r="AQ158" s="59"/>
      <c r="AR158" s="59"/>
      <c r="AS158" s="59"/>
      <c r="AT158" s="59"/>
      <c r="AU158" s="59"/>
      <c r="AV158" s="59"/>
      <c r="AW158" s="59"/>
    </row>
    <row r="159" spans="1:49" x14ac:dyDescent="0.2">
      <c r="A159" s="31" t="s">
        <v>76</v>
      </c>
      <c r="B159" s="67">
        <v>141</v>
      </c>
      <c r="C159" s="50">
        <v>11</v>
      </c>
      <c r="D159" s="53">
        <v>1</v>
      </c>
      <c r="E159" s="35">
        <v>1</v>
      </c>
      <c r="F159" s="35">
        <f t="shared" si="21"/>
        <v>1</v>
      </c>
      <c r="G159" s="35" cm="1">
        <f t="array" ref="G159">IF(E159&lt;=INDEX($B$4:$B$17,C159),1,0)</f>
        <v>1</v>
      </c>
      <c r="H159" s="53">
        <v>139</v>
      </c>
      <c r="I159" s="54">
        <v>180</v>
      </c>
      <c r="J159" s="55">
        <f t="shared" si="23"/>
        <v>896</v>
      </c>
      <c r="K159" s="55">
        <f t="shared" si="22"/>
        <v>937</v>
      </c>
      <c r="L159" s="55">
        <f t="shared" si="24"/>
        <v>0</v>
      </c>
      <c r="M159" s="55">
        <f t="shared" si="25"/>
        <v>139</v>
      </c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110"/>
      <c r="AD159" s="110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59"/>
      <c r="AQ159" s="59"/>
      <c r="AR159" s="59"/>
      <c r="AS159" s="59"/>
      <c r="AT159" s="59"/>
      <c r="AU159" s="59"/>
      <c r="AV159" s="59"/>
      <c r="AW159" s="59"/>
    </row>
    <row r="160" spans="1:49" x14ac:dyDescent="0.2">
      <c r="A160" s="31"/>
      <c r="B160" s="70">
        <v>142</v>
      </c>
      <c r="C160" s="51">
        <v>11</v>
      </c>
      <c r="D160" s="55">
        <v>2</v>
      </c>
      <c r="E160" s="37">
        <v>2</v>
      </c>
      <c r="F160" s="37">
        <f t="shared" si="21"/>
        <v>1</v>
      </c>
      <c r="G160" s="37" cm="1">
        <f t="array" ref="G160">IF(E160&lt;=INDEX($B$4:$B$17,C160),1,0)</f>
        <v>1</v>
      </c>
      <c r="H160" s="55">
        <v>152</v>
      </c>
      <c r="I160" s="56">
        <v>189</v>
      </c>
      <c r="J160" s="55">
        <f t="shared" si="23"/>
        <v>937</v>
      </c>
      <c r="K160" s="55">
        <f t="shared" si="22"/>
        <v>974</v>
      </c>
      <c r="L160" s="55">
        <f t="shared" si="24"/>
        <v>0</v>
      </c>
      <c r="M160" s="55">
        <f t="shared" si="25"/>
        <v>152</v>
      </c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110"/>
      <c r="AD160" s="110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59"/>
      <c r="AQ160" s="59"/>
      <c r="AR160" s="59"/>
      <c r="AS160" s="59"/>
      <c r="AT160" s="59"/>
      <c r="AU160" s="59"/>
      <c r="AV160" s="59"/>
      <c r="AW160" s="59"/>
    </row>
    <row r="161" spans="1:49" x14ac:dyDescent="0.2">
      <c r="A161" s="31"/>
      <c r="B161" s="67">
        <v>143</v>
      </c>
      <c r="C161" s="51">
        <v>11</v>
      </c>
      <c r="D161" s="55">
        <v>3</v>
      </c>
      <c r="E161" s="37">
        <v>3</v>
      </c>
      <c r="F161" s="37">
        <f t="shared" si="21"/>
        <v>1</v>
      </c>
      <c r="G161" s="37" cm="1">
        <f t="array" ref="G161">IF(E161&lt;=INDEX($B$4:$B$17,C161),1,0)</f>
        <v>1</v>
      </c>
      <c r="H161" s="55">
        <v>142</v>
      </c>
      <c r="I161" s="56">
        <v>176</v>
      </c>
      <c r="J161" s="55">
        <f t="shared" si="23"/>
        <v>974</v>
      </c>
      <c r="K161" s="55">
        <f t="shared" si="22"/>
        <v>1008</v>
      </c>
      <c r="L161" s="55">
        <f t="shared" si="24"/>
        <v>0</v>
      </c>
      <c r="M161" s="55">
        <f t="shared" si="25"/>
        <v>142</v>
      </c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110"/>
      <c r="AD161" s="110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59"/>
      <c r="AQ161" s="59"/>
      <c r="AR161" s="59"/>
      <c r="AS161" s="59"/>
      <c r="AT161" s="59"/>
      <c r="AU161" s="59"/>
      <c r="AV161" s="59"/>
      <c r="AW161" s="59"/>
    </row>
    <row r="162" spans="1:49" x14ac:dyDescent="0.2">
      <c r="A162" s="31"/>
      <c r="B162" s="70">
        <v>144</v>
      </c>
      <c r="C162" s="51">
        <v>11</v>
      </c>
      <c r="D162" s="55">
        <v>4</v>
      </c>
      <c r="E162" s="37">
        <v>4</v>
      </c>
      <c r="F162" s="37">
        <f t="shared" si="21"/>
        <v>1</v>
      </c>
      <c r="G162" s="37" cm="1">
        <f t="array" ref="G162">IF(E162&lt;=INDEX($B$4:$B$17,C162),1,0)</f>
        <v>1</v>
      </c>
      <c r="H162" s="55">
        <v>128</v>
      </c>
      <c r="I162" s="56">
        <v>153</v>
      </c>
      <c r="J162" s="55">
        <f t="shared" si="23"/>
        <v>1008</v>
      </c>
      <c r="K162" s="55">
        <f t="shared" si="22"/>
        <v>1033</v>
      </c>
      <c r="L162" s="55">
        <f t="shared" si="24"/>
        <v>0</v>
      </c>
      <c r="M162" s="55">
        <f t="shared" si="25"/>
        <v>128</v>
      </c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110"/>
      <c r="AD162" s="110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P162" s="59"/>
      <c r="AQ162" s="59"/>
      <c r="AR162" s="59"/>
      <c r="AS162" s="59"/>
      <c r="AT162" s="59"/>
      <c r="AU162" s="59"/>
      <c r="AV162" s="59"/>
      <c r="AW162" s="59"/>
    </row>
    <row r="163" spans="1:49" x14ac:dyDescent="0.2">
      <c r="A163" s="31"/>
      <c r="B163" s="67">
        <v>145</v>
      </c>
      <c r="C163" s="51">
        <v>11</v>
      </c>
      <c r="D163" s="55">
        <v>5</v>
      </c>
      <c r="E163" s="37">
        <v>5</v>
      </c>
      <c r="F163" s="37">
        <f t="shared" si="21"/>
        <v>1</v>
      </c>
      <c r="G163" s="37" cm="1">
        <f t="array" ref="G163">IF(E163&lt;=INDEX($B$4:$B$17,C163),1,0)</f>
        <v>1</v>
      </c>
      <c r="H163" s="55">
        <v>150</v>
      </c>
      <c r="I163" s="56">
        <v>153</v>
      </c>
      <c r="J163" s="55">
        <f t="shared" si="23"/>
        <v>1033</v>
      </c>
      <c r="K163" s="55">
        <f t="shared" si="22"/>
        <v>1036</v>
      </c>
      <c r="L163" s="55">
        <f t="shared" si="24"/>
        <v>0</v>
      </c>
      <c r="M163" s="55">
        <f t="shared" si="25"/>
        <v>150</v>
      </c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110"/>
      <c r="AD163" s="110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59"/>
      <c r="AQ163" s="59"/>
      <c r="AR163" s="59"/>
      <c r="AS163" s="59"/>
      <c r="AT163" s="59"/>
      <c r="AU163" s="59"/>
      <c r="AV163" s="59"/>
      <c r="AW163" s="59"/>
    </row>
    <row r="164" spans="1:49" x14ac:dyDescent="0.2">
      <c r="A164" s="31"/>
      <c r="B164" s="70">
        <v>146</v>
      </c>
      <c r="C164" s="51">
        <v>11</v>
      </c>
      <c r="D164" s="55">
        <v>6</v>
      </c>
      <c r="E164" s="37">
        <v>6</v>
      </c>
      <c r="F164" s="37">
        <f t="shared" si="21"/>
        <v>0</v>
      </c>
      <c r="G164" s="37" cm="1">
        <f t="array" ref="G164">IF(E164&lt;=INDEX($B$4:$B$17,C164),1,0)</f>
        <v>0</v>
      </c>
      <c r="H164" s="55">
        <v>0</v>
      </c>
      <c r="I164" s="56">
        <v>0</v>
      </c>
      <c r="J164" s="55">
        <f t="shared" si="23"/>
        <v>1036</v>
      </c>
      <c r="K164" s="55">
        <f t="shared" si="22"/>
        <v>1036</v>
      </c>
      <c r="L164" s="55">
        <f t="shared" si="24"/>
        <v>0</v>
      </c>
      <c r="M164" s="55" t="str">
        <f t="shared" si="25"/>
        <v/>
      </c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110"/>
      <c r="AD164" s="110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  <c r="AP164" s="59"/>
      <c r="AQ164" s="59"/>
      <c r="AR164" s="59"/>
      <c r="AS164" s="59"/>
      <c r="AT164" s="59"/>
      <c r="AU164" s="59"/>
      <c r="AV164" s="59"/>
      <c r="AW164" s="59"/>
    </row>
    <row r="165" spans="1:49" x14ac:dyDescent="0.2">
      <c r="A165" s="31"/>
      <c r="B165" s="67">
        <v>147</v>
      </c>
      <c r="C165" s="51">
        <v>11</v>
      </c>
      <c r="D165" s="55">
        <v>7</v>
      </c>
      <c r="E165" s="37">
        <v>7</v>
      </c>
      <c r="F165" s="37">
        <f t="shared" si="21"/>
        <v>0</v>
      </c>
      <c r="G165" s="37" cm="1">
        <f t="array" ref="G165">IF(E165&lt;=INDEX($B$4:$B$17,C165),1,0)</f>
        <v>0</v>
      </c>
      <c r="H165" s="55">
        <v>0</v>
      </c>
      <c r="I165" s="56">
        <v>0</v>
      </c>
      <c r="J165" s="55">
        <f t="shared" si="23"/>
        <v>1036</v>
      </c>
      <c r="K165" s="55">
        <f t="shared" si="22"/>
        <v>1036</v>
      </c>
      <c r="L165" s="55">
        <f t="shared" si="24"/>
        <v>0</v>
      </c>
      <c r="M165" s="55" t="str">
        <f t="shared" si="25"/>
        <v/>
      </c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110"/>
      <c r="AD165" s="110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  <c r="AP165" s="59"/>
      <c r="AQ165" s="59"/>
      <c r="AR165" s="59"/>
      <c r="AS165" s="59"/>
      <c r="AT165" s="59"/>
      <c r="AU165" s="59"/>
      <c r="AV165" s="59"/>
      <c r="AW165" s="59"/>
    </row>
    <row r="166" spans="1:49" x14ac:dyDescent="0.2">
      <c r="A166" s="31"/>
      <c r="B166" s="70">
        <v>148</v>
      </c>
      <c r="C166" s="51">
        <v>11</v>
      </c>
      <c r="D166" s="55">
        <v>8</v>
      </c>
      <c r="E166" s="35">
        <v>1</v>
      </c>
      <c r="F166" s="35">
        <f t="shared" si="21"/>
        <v>1</v>
      </c>
      <c r="G166" s="37" cm="1">
        <f t="array" ref="G166">IF(E166&lt;=INDEX($B$4:$B$17,C166),1,0)</f>
        <v>1</v>
      </c>
      <c r="H166" s="55">
        <v>139</v>
      </c>
      <c r="I166" s="56">
        <v>181</v>
      </c>
      <c r="J166" s="55">
        <f t="shared" si="23"/>
        <v>1036</v>
      </c>
      <c r="K166" s="55">
        <f t="shared" si="22"/>
        <v>1078</v>
      </c>
      <c r="L166" s="55">
        <f t="shared" si="24"/>
        <v>0</v>
      </c>
      <c r="M166" s="55">
        <f t="shared" si="25"/>
        <v>139</v>
      </c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110"/>
      <c r="AD166" s="110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  <c r="AP166" s="59"/>
      <c r="AQ166" s="59"/>
      <c r="AR166" s="59"/>
      <c r="AS166" s="59"/>
      <c r="AT166" s="59"/>
      <c r="AU166" s="59"/>
      <c r="AV166" s="59"/>
      <c r="AW166" s="59"/>
    </row>
    <row r="167" spans="1:49" x14ac:dyDescent="0.2">
      <c r="A167" s="31"/>
      <c r="B167" s="67">
        <v>149</v>
      </c>
      <c r="C167" s="51">
        <v>11</v>
      </c>
      <c r="D167" s="55">
        <v>9</v>
      </c>
      <c r="E167" s="37">
        <v>2</v>
      </c>
      <c r="F167" s="37">
        <f t="shared" si="21"/>
        <v>1</v>
      </c>
      <c r="G167" s="37" cm="1">
        <f t="array" ref="G167">IF(E167&lt;=INDEX($B$4:$B$17,C167),1,0)</f>
        <v>1</v>
      </c>
      <c r="H167" s="55">
        <v>135</v>
      </c>
      <c r="I167" s="56">
        <v>190</v>
      </c>
      <c r="J167" s="55">
        <f t="shared" si="23"/>
        <v>1078</v>
      </c>
      <c r="K167" s="55">
        <f t="shared" si="22"/>
        <v>1133</v>
      </c>
      <c r="L167" s="55">
        <f t="shared" si="24"/>
        <v>0</v>
      </c>
      <c r="M167" s="55">
        <f t="shared" si="25"/>
        <v>135</v>
      </c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110"/>
      <c r="AD167" s="110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  <c r="AP167" s="59"/>
      <c r="AQ167" s="59"/>
      <c r="AR167" s="59"/>
      <c r="AS167" s="59"/>
      <c r="AT167" s="59"/>
      <c r="AU167" s="59"/>
      <c r="AV167" s="59"/>
      <c r="AW167" s="59"/>
    </row>
    <row r="168" spans="1:49" x14ac:dyDescent="0.2">
      <c r="A168" s="31"/>
      <c r="B168" s="70">
        <v>150</v>
      </c>
      <c r="C168" s="51">
        <v>11</v>
      </c>
      <c r="D168" s="55">
        <v>10</v>
      </c>
      <c r="E168" s="37">
        <v>3</v>
      </c>
      <c r="F168" s="37">
        <f t="shared" si="21"/>
        <v>1</v>
      </c>
      <c r="G168" s="37" cm="1">
        <f t="array" ref="G168">IF(E168&lt;=INDEX($B$4:$B$17,C168),1,0)</f>
        <v>1</v>
      </c>
      <c r="H168" s="55">
        <v>148</v>
      </c>
      <c r="I168" s="56">
        <v>133</v>
      </c>
      <c r="J168" s="55">
        <f t="shared" si="23"/>
        <v>1133</v>
      </c>
      <c r="K168" s="55">
        <f t="shared" si="22"/>
        <v>1118</v>
      </c>
      <c r="L168" s="55">
        <f t="shared" si="24"/>
        <v>0</v>
      </c>
      <c r="M168" s="55">
        <f t="shared" si="25"/>
        <v>148</v>
      </c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110"/>
      <c r="AD168" s="110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  <c r="AP168" s="59"/>
      <c r="AQ168" s="59"/>
      <c r="AR168" s="59"/>
      <c r="AS168" s="59"/>
      <c r="AT168" s="59"/>
      <c r="AU168" s="59"/>
      <c r="AV168" s="59"/>
      <c r="AW168" s="59"/>
    </row>
    <row r="169" spans="1:49" x14ac:dyDescent="0.2">
      <c r="A169" s="31"/>
      <c r="B169" s="67">
        <v>151</v>
      </c>
      <c r="C169" s="51">
        <v>11</v>
      </c>
      <c r="D169" s="55">
        <v>11</v>
      </c>
      <c r="E169" s="37">
        <v>4</v>
      </c>
      <c r="F169" s="37">
        <f t="shared" si="21"/>
        <v>1</v>
      </c>
      <c r="G169" s="37" cm="1">
        <f t="array" ref="G169">IF(E169&lt;=INDEX($B$4:$B$17,C169),1,0)</f>
        <v>1</v>
      </c>
      <c r="H169" s="55">
        <v>158</v>
      </c>
      <c r="I169" s="56">
        <v>177</v>
      </c>
      <c r="J169" s="55">
        <f t="shared" si="23"/>
        <v>1118</v>
      </c>
      <c r="K169" s="55">
        <f t="shared" si="22"/>
        <v>1137</v>
      </c>
      <c r="L169" s="55">
        <f t="shared" si="24"/>
        <v>0</v>
      </c>
      <c r="M169" s="55">
        <f t="shared" si="25"/>
        <v>158</v>
      </c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110"/>
      <c r="AD169" s="110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  <c r="AP169" s="59"/>
      <c r="AQ169" s="59"/>
      <c r="AR169" s="59"/>
      <c r="AS169" s="59"/>
      <c r="AT169" s="59"/>
      <c r="AU169" s="59"/>
      <c r="AV169" s="59"/>
      <c r="AW169" s="59"/>
    </row>
    <row r="170" spans="1:49" x14ac:dyDescent="0.2">
      <c r="A170" s="31"/>
      <c r="B170" s="70">
        <v>152</v>
      </c>
      <c r="C170" s="51">
        <v>11</v>
      </c>
      <c r="D170" s="55">
        <v>12</v>
      </c>
      <c r="E170" s="37">
        <v>5</v>
      </c>
      <c r="F170" s="37">
        <f t="shared" si="21"/>
        <v>1</v>
      </c>
      <c r="G170" s="37" cm="1">
        <f t="array" ref="G170">IF(E170&lt;=INDEX($B$4:$B$17,C170),1,0)</f>
        <v>1</v>
      </c>
      <c r="H170" s="55">
        <v>136</v>
      </c>
      <c r="I170" s="56">
        <v>178</v>
      </c>
      <c r="J170" s="55">
        <f t="shared" si="23"/>
        <v>1137</v>
      </c>
      <c r="K170" s="55">
        <f t="shared" si="22"/>
        <v>1179</v>
      </c>
      <c r="L170" s="55">
        <f t="shared" si="24"/>
        <v>0</v>
      </c>
      <c r="M170" s="55">
        <f t="shared" si="25"/>
        <v>136</v>
      </c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110"/>
      <c r="AD170" s="110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  <c r="AP170" s="59"/>
      <c r="AQ170" s="59"/>
      <c r="AR170" s="59"/>
      <c r="AS170" s="59"/>
      <c r="AT170" s="59"/>
      <c r="AU170" s="59"/>
      <c r="AV170" s="59"/>
      <c r="AW170" s="59"/>
    </row>
    <row r="171" spans="1:49" x14ac:dyDescent="0.2">
      <c r="A171" s="31"/>
      <c r="B171" s="67">
        <v>153</v>
      </c>
      <c r="C171" s="51">
        <v>11</v>
      </c>
      <c r="D171" s="55">
        <v>13</v>
      </c>
      <c r="E171" s="37">
        <v>6</v>
      </c>
      <c r="F171" s="37">
        <f t="shared" si="21"/>
        <v>0</v>
      </c>
      <c r="G171" s="37" cm="1">
        <f t="array" ref="G171">IF(E171&lt;=INDEX($B$4:$B$17,C171),1,0)</f>
        <v>0</v>
      </c>
      <c r="H171" s="55">
        <v>0</v>
      </c>
      <c r="I171" s="56">
        <v>0</v>
      </c>
      <c r="J171" s="55">
        <f t="shared" si="23"/>
        <v>1179</v>
      </c>
      <c r="K171" s="55">
        <f t="shared" si="22"/>
        <v>1179</v>
      </c>
      <c r="L171" s="55">
        <f t="shared" si="24"/>
        <v>0</v>
      </c>
      <c r="M171" s="55" t="str">
        <f t="shared" si="25"/>
        <v/>
      </c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110"/>
      <c r="AD171" s="110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  <c r="AP171" s="59"/>
      <c r="AQ171" s="59"/>
      <c r="AR171" s="59"/>
      <c r="AS171" s="59"/>
      <c r="AT171" s="59"/>
      <c r="AU171" s="59"/>
      <c r="AV171" s="59"/>
      <c r="AW171" s="59"/>
    </row>
    <row r="172" spans="1:49" x14ac:dyDescent="0.2">
      <c r="A172" s="31"/>
      <c r="B172" s="70">
        <v>154</v>
      </c>
      <c r="C172" s="52">
        <v>11</v>
      </c>
      <c r="D172" s="57">
        <v>14</v>
      </c>
      <c r="E172" s="37">
        <v>7</v>
      </c>
      <c r="F172" s="37">
        <f t="shared" si="21"/>
        <v>0</v>
      </c>
      <c r="G172" s="37" cm="1">
        <f t="array" ref="G172">IF(E172&lt;=INDEX($B$4:$B$17,C172),1,0)</f>
        <v>0</v>
      </c>
      <c r="H172" s="57">
        <v>0</v>
      </c>
      <c r="I172" s="58">
        <v>0</v>
      </c>
      <c r="J172" s="55">
        <f t="shared" si="23"/>
        <v>1179</v>
      </c>
      <c r="K172" s="55">
        <f t="shared" si="22"/>
        <v>1179</v>
      </c>
      <c r="L172" s="55">
        <f t="shared" si="24"/>
        <v>0</v>
      </c>
      <c r="M172" s="55" t="str">
        <f t="shared" si="25"/>
        <v/>
      </c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110"/>
      <c r="AD172" s="110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  <c r="AP172" s="59"/>
      <c r="AQ172" s="59"/>
      <c r="AR172" s="59"/>
      <c r="AS172" s="59"/>
      <c r="AT172" s="59"/>
      <c r="AU172" s="59"/>
      <c r="AV172" s="59"/>
      <c r="AW172" s="59"/>
    </row>
    <row r="173" spans="1:49" x14ac:dyDescent="0.2">
      <c r="A173" s="31" t="s">
        <v>77</v>
      </c>
      <c r="B173" s="67">
        <v>155</v>
      </c>
      <c r="C173" s="50">
        <v>12</v>
      </c>
      <c r="D173" s="53">
        <v>1</v>
      </c>
      <c r="E173" s="35">
        <v>1</v>
      </c>
      <c r="F173" s="35">
        <f t="shared" si="21"/>
        <v>1</v>
      </c>
      <c r="G173" s="35" cm="1">
        <f t="array" ref="G173">IF(E173&lt;=INDEX($B$4:$B$17,C173),1,0)</f>
        <v>1</v>
      </c>
      <c r="H173" s="53">
        <v>133</v>
      </c>
      <c r="I173" s="54">
        <v>145</v>
      </c>
      <c r="J173" s="55">
        <f t="shared" si="23"/>
        <v>1179</v>
      </c>
      <c r="K173" s="55">
        <f t="shared" si="22"/>
        <v>1191</v>
      </c>
      <c r="L173" s="55">
        <f t="shared" si="24"/>
        <v>0</v>
      </c>
      <c r="M173" s="55">
        <f t="shared" si="25"/>
        <v>133</v>
      </c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110"/>
      <c r="AD173" s="110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59"/>
      <c r="AQ173" s="59"/>
      <c r="AR173" s="59"/>
      <c r="AS173" s="59"/>
      <c r="AT173" s="59"/>
      <c r="AU173" s="59"/>
      <c r="AV173" s="59"/>
      <c r="AW173" s="59"/>
    </row>
    <row r="174" spans="1:49" x14ac:dyDescent="0.2">
      <c r="A174" s="31"/>
      <c r="B174" s="70">
        <v>156</v>
      </c>
      <c r="C174" s="51">
        <v>12</v>
      </c>
      <c r="D174" s="55">
        <v>2</v>
      </c>
      <c r="E174" s="37">
        <v>2</v>
      </c>
      <c r="F174" s="37">
        <f t="shared" si="21"/>
        <v>1</v>
      </c>
      <c r="G174" s="37" cm="1">
        <f t="array" ref="G174">IF(E174&lt;=INDEX($B$4:$B$17,C174),1,0)</f>
        <v>1</v>
      </c>
      <c r="H174" s="55">
        <v>143</v>
      </c>
      <c r="I174" s="56">
        <v>156</v>
      </c>
      <c r="J174" s="55">
        <f t="shared" si="23"/>
        <v>1191</v>
      </c>
      <c r="K174" s="55">
        <f t="shared" si="22"/>
        <v>1204</v>
      </c>
      <c r="L174" s="55">
        <f t="shared" si="24"/>
        <v>0</v>
      </c>
      <c r="M174" s="55">
        <f t="shared" si="25"/>
        <v>143</v>
      </c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110"/>
      <c r="AD174" s="110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59"/>
      <c r="AQ174" s="59"/>
      <c r="AR174" s="59"/>
      <c r="AS174" s="59"/>
      <c r="AT174" s="59"/>
      <c r="AU174" s="59"/>
      <c r="AV174" s="59"/>
      <c r="AW174" s="59"/>
    </row>
    <row r="175" spans="1:49" x14ac:dyDescent="0.2">
      <c r="A175" s="31"/>
      <c r="B175" s="67">
        <v>157</v>
      </c>
      <c r="C175" s="51">
        <v>12</v>
      </c>
      <c r="D175" s="55">
        <v>3</v>
      </c>
      <c r="E175" s="37">
        <v>3</v>
      </c>
      <c r="F175" s="37">
        <f t="shared" si="21"/>
        <v>1</v>
      </c>
      <c r="G175" s="37" cm="1">
        <f t="array" ref="G175">IF(E175&lt;=INDEX($B$4:$B$17,C175),1,0)</f>
        <v>1</v>
      </c>
      <c r="H175" s="55">
        <v>159</v>
      </c>
      <c r="I175" s="56">
        <v>143</v>
      </c>
      <c r="J175" s="55">
        <f t="shared" si="23"/>
        <v>1204</v>
      </c>
      <c r="K175" s="55">
        <f t="shared" si="22"/>
        <v>1188</v>
      </c>
      <c r="L175" s="55">
        <f t="shared" si="24"/>
        <v>0</v>
      </c>
      <c r="M175" s="55">
        <f t="shared" si="25"/>
        <v>159</v>
      </c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110"/>
      <c r="AD175" s="110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  <c r="AP175" s="59"/>
      <c r="AQ175" s="59"/>
      <c r="AR175" s="59"/>
      <c r="AS175" s="59"/>
      <c r="AT175" s="59"/>
      <c r="AU175" s="59"/>
      <c r="AV175" s="59"/>
      <c r="AW175" s="59"/>
    </row>
    <row r="176" spans="1:49" x14ac:dyDescent="0.2">
      <c r="A176" s="31"/>
      <c r="B176" s="70">
        <v>158</v>
      </c>
      <c r="C176" s="51">
        <v>12</v>
      </c>
      <c r="D176" s="55">
        <v>4</v>
      </c>
      <c r="E176" s="37">
        <v>4</v>
      </c>
      <c r="F176" s="37">
        <f t="shared" si="21"/>
        <v>1</v>
      </c>
      <c r="G176" s="37" cm="1">
        <f t="array" ref="G176">IF(E176&lt;=INDEX($B$4:$B$17,C176),1,0)</f>
        <v>1</v>
      </c>
      <c r="H176" s="55">
        <v>150</v>
      </c>
      <c r="I176" s="56">
        <v>148</v>
      </c>
      <c r="J176" s="55">
        <f t="shared" si="23"/>
        <v>1188</v>
      </c>
      <c r="K176" s="55">
        <f t="shared" si="22"/>
        <v>1186</v>
      </c>
      <c r="L176" s="55">
        <f t="shared" si="24"/>
        <v>0</v>
      </c>
      <c r="M176" s="55">
        <f t="shared" si="25"/>
        <v>150</v>
      </c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110"/>
      <c r="AD176" s="110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  <c r="AP176" s="59"/>
      <c r="AQ176" s="59"/>
      <c r="AR176" s="59"/>
      <c r="AS176" s="59"/>
      <c r="AT176" s="59"/>
      <c r="AU176" s="59"/>
      <c r="AV176" s="59"/>
      <c r="AW176" s="59"/>
    </row>
    <row r="177" spans="1:49" x14ac:dyDescent="0.2">
      <c r="A177" s="31"/>
      <c r="B177" s="67">
        <v>159</v>
      </c>
      <c r="C177" s="51">
        <v>12</v>
      </c>
      <c r="D177" s="55">
        <v>5</v>
      </c>
      <c r="E177" s="37">
        <v>5</v>
      </c>
      <c r="F177" s="37">
        <f t="shared" si="21"/>
        <v>1</v>
      </c>
      <c r="G177" s="37" cm="1">
        <f t="array" ref="G177">IF(E177&lt;=INDEX($B$4:$B$17,C177),1,0)</f>
        <v>1</v>
      </c>
      <c r="H177" s="55">
        <v>143</v>
      </c>
      <c r="I177" s="56">
        <v>144</v>
      </c>
      <c r="J177" s="55">
        <f t="shared" si="23"/>
        <v>1186</v>
      </c>
      <c r="K177" s="55">
        <f t="shared" si="22"/>
        <v>1187</v>
      </c>
      <c r="L177" s="55">
        <f t="shared" si="24"/>
        <v>0</v>
      </c>
      <c r="M177" s="55">
        <f t="shared" si="25"/>
        <v>143</v>
      </c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110"/>
      <c r="AD177" s="110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  <c r="AP177" s="59"/>
      <c r="AQ177" s="59"/>
      <c r="AR177" s="59"/>
      <c r="AS177" s="59"/>
      <c r="AT177" s="59"/>
      <c r="AU177" s="59"/>
      <c r="AV177" s="59"/>
      <c r="AW177" s="59"/>
    </row>
    <row r="178" spans="1:49" x14ac:dyDescent="0.2">
      <c r="A178" s="31"/>
      <c r="B178" s="70">
        <v>160</v>
      </c>
      <c r="C178" s="51">
        <v>12</v>
      </c>
      <c r="D178" s="55">
        <v>6</v>
      </c>
      <c r="E178" s="37">
        <v>6</v>
      </c>
      <c r="F178" s="37">
        <f t="shared" si="21"/>
        <v>0</v>
      </c>
      <c r="G178" s="37" cm="1">
        <f t="array" ref="G178">IF(E178&lt;=INDEX($B$4:$B$17,C178),1,0)</f>
        <v>1</v>
      </c>
      <c r="H178" s="55">
        <v>161</v>
      </c>
      <c r="I178" s="56">
        <v>0</v>
      </c>
      <c r="J178" s="55">
        <f t="shared" si="23"/>
        <v>1187</v>
      </c>
      <c r="K178" s="55">
        <f t="shared" si="22"/>
        <v>1026</v>
      </c>
      <c r="L178" s="55">
        <f t="shared" si="24"/>
        <v>0</v>
      </c>
      <c r="M178" s="55">
        <f t="shared" si="25"/>
        <v>161</v>
      </c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110"/>
      <c r="AD178" s="110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P178" s="59"/>
      <c r="AQ178" s="59"/>
      <c r="AR178" s="59"/>
      <c r="AS178" s="59"/>
      <c r="AT178" s="59"/>
      <c r="AU178" s="59"/>
      <c r="AV178" s="59"/>
      <c r="AW178" s="59"/>
    </row>
    <row r="179" spans="1:49" x14ac:dyDescent="0.2">
      <c r="A179" s="31"/>
      <c r="B179" s="67">
        <v>161</v>
      </c>
      <c r="C179" s="51">
        <v>12</v>
      </c>
      <c r="D179" s="55">
        <v>7</v>
      </c>
      <c r="E179" s="37">
        <v>7</v>
      </c>
      <c r="F179" s="37">
        <f t="shared" si="21"/>
        <v>0</v>
      </c>
      <c r="G179" s="37" cm="1">
        <f t="array" ref="G179">IF(E179&lt;=INDEX($B$4:$B$17,C179),1,0)</f>
        <v>0</v>
      </c>
      <c r="H179" s="55">
        <v>0</v>
      </c>
      <c r="I179" s="56">
        <v>0</v>
      </c>
      <c r="J179" s="55">
        <f t="shared" si="23"/>
        <v>1026</v>
      </c>
      <c r="K179" s="55">
        <f t="shared" si="22"/>
        <v>1026</v>
      </c>
      <c r="L179" s="55">
        <f t="shared" si="24"/>
        <v>0</v>
      </c>
      <c r="M179" s="55" t="str">
        <f t="shared" si="25"/>
        <v/>
      </c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110"/>
      <c r="AD179" s="110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P179" s="59"/>
      <c r="AQ179" s="59"/>
      <c r="AR179" s="59"/>
      <c r="AS179" s="59"/>
      <c r="AT179" s="59"/>
      <c r="AU179" s="59"/>
      <c r="AV179" s="59"/>
      <c r="AW179" s="59"/>
    </row>
    <row r="180" spans="1:49" x14ac:dyDescent="0.2">
      <c r="A180" s="31"/>
      <c r="B180" s="70">
        <v>162</v>
      </c>
      <c r="C180" s="51">
        <v>12</v>
      </c>
      <c r="D180" s="55">
        <v>8</v>
      </c>
      <c r="E180" s="35">
        <v>1</v>
      </c>
      <c r="F180" s="35">
        <f t="shared" si="21"/>
        <v>1</v>
      </c>
      <c r="G180" s="37" cm="1">
        <f t="array" ref="G180">IF(E180&lt;=INDEX($B$4:$B$17,C180),1,0)</f>
        <v>1</v>
      </c>
      <c r="H180" s="55">
        <v>161</v>
      </c>
      <c r="I180" s="56">
        <v>154</v>
      </c>
      <c r="J180" s="55">
        <f t="shared" si="23"/>
        <v>1026</v>
      </c>
      <c r="K180" s="55">
        <f t="shared" si="22"/>
        <v>1019</v>
      </c>
      <c r="L180" s="55">
        <f t="shared" si="24"/>
        <v>0</v>
      </c>
      <c r="M180" s="55">
        <f t="shared" si="25"/>
        <v>161</v>
      </c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110"/>
      <c r="AD180" s="110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  <c r="AP180" s="59"/>
      <c r="AQ180" s="59"/>
      <c r="AR180" s="59"/>
      <c r="AS180" s="59"/>
      <c r="AT180" s="59"/>
      <c r="AU180" s="59"/>
      <c r="AV180" s="59"/>
      <c r="AW180" s="59"/>
    </row>
    <row r="181" spans="1:49" x14ac:dyDescent="0.2">
      <c r="A181" s="31"/>
      <c r="B181" s="67">
        <v>163</v>
      </c>
      <c r="C181" s="51">
        <v>12</v>
      </c>
      <c r="D181" s="55">
        <v>9</v>
      </c>
      <c r="E181" s="37">
        <v>2</v>
      </c>
      <c r="F181" s="37">
        <f t="shared" si="21"/>
        <v>1</v>
      </c>
      <c r="G181" s="37" cm="1">
        <f t="array" ref="G181">IF(E181&lt;=INDEX($B$4:$B$17,C181),1,0)</f>
        <v>1</v>
      </c>
      <c r="H181" s="55">
        <v>146</v>
      </c>
      <c r="I181" s="56">
        <v>86</v>
      </c>
      <c r="J181" s="55">
        <f t="shared" si="23"/>
        <v>1019</v>
      </c>
      <c r="K181" s="55">
        <f t="shared" si="22"/>
        <v>959</v>
      </c>
      <c r="L181" s="55">
        <f t="shared" si="24"/>
        <v>0</v>
      </c>
      <c r="M181" s="55">
        <f t="shared" si="25"/>
        <v>146</v>
      </c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110"/>
      <c r="AD181" s="110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  <c r="AP181" s="59"/>
      <c r="AQ181" s="59"/>
      <c r="AR181" s="59"/>
      <c r="AS181" s="59"/>
      <c r="AT181" s="59"/>
      <c r="AU181" s="59"/>
      <c r="AV181" s="59"/>
      <c r="AW181" s="59"/>
    </row>
    <row r="182" spans="1:49" x14ac:dyDescent="0.2">
      <c r="A182" s="31"/>
      <c r="B182" s="70">
        <v>164</v>
      </c>
      <c r="C182" s="51">
        <v>12</v>
      </c>
      <c r="D182" s="55">
        <v>10</v>
      </c>
      <c r="E182" s="37">
        <v>3</v>
      </c>
      <c r="F182" s="37">
        <f t="shared" si="21"/>
        <v>1</v>
      </c>
      <c r="G182" s="37" cm="1">
        <f t="array" ref="G182">IF(E182&lt;=INDEX($B$4:$B$17,C182),1,0)</f>
        <v>1</v>
      </c>
      <c r="H182" s="55">
        <v>138</v>
      </c>
      <c r="I182" s="56">
        <v>125</v>
      </c>
      <c r="J182" s="55">
        <f t="shared" si="23"/>
        <v>959</v>
      </c>
      <c r="K182" s="55">
        <f t="shared" si="22"/>
        <v>946</v>
      </c>
      <c r="L182" s="55">
        <f t="shared" si="24"/>
        <v>0</v>
      </c>
      <c r="M182" s="55">
        <f t="shared" si="25"/>
        <v>138</v>
      </c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110"/>
      <c r="AD182" s="110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  <c r="AP182" s="59"/>
      <c r="AQ182" s="59"/>
      <c r="AR182" s="59"/>
      <c r="AS182" s="59"/>
      <c r="AT182" s="59"/>
      <c r="AU182" s="59"/>
      <c r="AV182" s="59"/>
      <c r="AW182" s="59"/>
    </row>
    <row r="183" spans="1:49" x14ac:dyDescent="0.2">
      <c r="A183" s="31"/>
      <c r="B183" s="67">
        <v>165</v>
      </c>
      <c r="C183" s="51">
        <v>12</v>
      </c>
      <c r="D183" s="55">
        <v>11</v>
      </c>
      <c r="E183" s="37">
        <v>4</v>
      </c>
      <c r="F183" s="37">
        <f t="shared" si="21"/>
        <v>1</v>
      </c>
      <c r="G183" s="37" cm="1">
        <f t="array" ref="G183">IF(E183&lt;=INDEX($B$4:$B$17,C183),1,0)</f>
        <v>1</v>
      </c>
      <c r="H183" s="55">
        <v>133</v>
      </c>
      <c r="I183" s="56">
        <v>150</v>
      </c>
      <c r="J183" s="55">
        <f t="shared" si="23"/>
        <v>946</v>
      </c>
      <c r="K183" s="55">
        <f t="shared" si="22"/>
        <v>963</v>
      </c>
      <c r="L183" s="55">
        <f t="shared" si="24"/>
        <v>0</v>
      </c>
      <c r="M183" s="55">
        <f t="shared" si="25"/>
        <v>133</v>
      </c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110"/>
      <c r="AD183" s="110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  <c r="AP183" s="59"/>
      <c r="AQ183" s="59"/>
      <c r="AR183" s="59"/>
      <c r="AS183" s="59"/>
      <c r="AT183" s="59"/>
      <c r="AU183" s="59"/>
      <c r="AV183" s="59"/>
      <c r="AW183" s="59"/>
    </row>
    <row r="184" spans="1:49" x14ac:dyDescent="0.2">
      <c r="A184" s="31"/>
      <c r="B184" s="70">
        <v>166</v>
      </c>
      <c r="C184" s="51">
        <v>12</v>
      </c>
      <c r="D184" s="55">
        <v>12</v>
      </c>
      <c r="E184" s="37">
        <v>5</v>
      </c>
      <c r="F184" s="37">
        <f t="shared" si="21"/>
        <v>1</v>
      </c>
      <c r="G184" s="37" cm="1">
        <f t="array" ref="G184">IF(E184&lt;=INDEX($B$4:$B$17,C184),1,0)</f>
        <v>1</v>
      </c>
      <c r="H184" s="55">
        <v>158</v>
      </c>
      <c r="I184" s="56">
        <v>136</v>
      </c>
      <c r="J184" s="55">
        <f t="shared" si="23"/>
        <v>963</v>
      </c>
      <c r="K184" s="55">
        <f t="shared" si="22"/>
        <v>941</v>
      </c>
      <c r="L184" s="55">
        <f t="shared" si="24"/>
        <v>0</v>
      </c>
      <c r="M184" s="55">
        <f t="shared" si="25"/>
        <v>158</v>
      </c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110"/>
      <c r="AD184" s="110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  <c r="AP184" s="59"/>
      <c r="AQ184" s="59"/>
      <c r="AR184" s="59"/>
      <c r="AS184" s="59"/>
      <c r="AT184" s="59"/>
      <c r="AU184" s="59"/>
      <c r="AV184" s="59"/>
      <c r="AW184" s="59"/>
    </row>
    <row r="185" spans="1:49" x14ac:dyDescent="0.2">
      <c r="A185" s="31"/>
      <c r="B185" s="67">
        <v>167</v>
      </c>
      <c r="C185" s="51">
        <v>12</v>
      </c>
      <c r="D185" s="55">
        <v>13</v>
      </c>
      <c r="E185" s="37">
        <v>6</v>
      </c>
      <c r="F185" s="37">
        <f t="shared" si="21"/>
        <v>0</v>
      </c>
      <c r="G185" s="37" cm="1">
        <f t="array" ref="G185">IF(E185&lt;=INDEX($B$4:$B$17,C185),1,0)</f>
        <v>1</v>
      </c>
      <c r="H185" s="55">
        <v>131</v>
      </c>
      <c r="I185" s="56">
        <v>0</v>
      </c>
      <c r="J185" s="55">
        <f t="shared" si="23"/>
        <v>941</v>
      </c>
      <c r="K185" s="55">
        <f t="shared" si="22"/>
        <v>810</v>
      </c>
      <c r="L185" s="55">
        <f t="shared" si="24"/>
        <v>0</v>
      </c>
      <c r="M185" s="55">
        <f t="shared" si="25"/>
        <v>131</v>
      </c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110"/>
      <c r="AD185" s="110"/>
      <c r="AE185" s="111"/>
      <c r="AF185" s="111"/>
      <c r="AG185" s="111"/>
      <c r="AH185" s="111"/>
      <c r="AI185" s="111"/>
      <c r="AJ185" s="111"/>
      <c r="AK185" s="111"/>
      <c r="AL185" s="111"/>
      <c r="AM185" s="111"/>
      <c r="AN185" s="111"/>
      <c r="AO185" s="111"/>
      <c r="AP185" s="59"/>
      <c r="AQ185" s="59"/>
      <c r="AR185" s="59"/>
      <c r="AS185" s="59"/>
      <c r="AT185" s="59"/>
      <c r="AU185" s="59"/>
      <c r="AV185" s="59"/>
      <c r="AW185" s="59"/>
    </row>
    <row r="186" spans="1:49" x14ac:dyDescent="0.2">
      <c r="A186" s="31"/>
      <c r="B186" s="70">
        <v>168</v>
      </c>
      <c r="C186" s="52">
        <v>12</v>
      </c>
      <c r="D186" s="57">
        <v>14</v>
      </c>
      <c r="E186" s="37">
        <v>7</v>
      </c>
      <c r="F186" s="37">
        <f t="shared" si="21"/>
        <v>0</v>
      </c>
      <c r="G186" s="37" cm="1">
        <f t="array" ref="G186">IF(E186&lt;=INDEX($B$4:$B$17,C186),1,0)</f>
        <v>0</v>
      </c>
      <c r="H186" s="57">
        <v>0</v>
      </c>
      <c r="I186" s="58">
        <v>0</v>
      </c>
      <c r="J186" s="55">
        <f t="shared" si="23"/>
        <v>810</v>
      </c>
      <c r="K186" s="55">
        <f t="shared" si="22"/>
        <v>810</v>
      </c>
      <c r="L186" s="55">
        <f t="shared" si="24"/>
        <v>0</v>
      </c>
      <c r="M186" s="55" t="str">
        <f t="shared" si="25"/>
        <v/>
      </c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110"/>
      <c r="AD186" s="110"/>
      <c r="AE186" s="111"/>
      <c r="AF186" s="111"/>
      <c r="AG186" s="111"/>
      <c r="AH186" s="111"/>
      <c r="AI186" s="111"/>
      <c r="AJ186" s="111"/>
      <c r="AK186" s="111"/>
      <c r="AL186" s="111"/>
      <c r="AM186" s="111"/>
      <c r="AN186" s="111"/>
      <c r="AO186" s="111"/>
      <c r="AP186" s="59"/>
      <c r="AQ186" s="59"/>
      <c r="AR186" s="59"/>
      <c r="AS186" s="59"/>
      <c r="AT186" s="59"/>
      <c r="AU186" s="59"/>
      <c r="AV186" s="59"/>
      <c r="AW186" s="59"/>
    </row>
    <row r="187" spans="1:49" x14ac:dyDescent="0.2">
      <c r="A187" s="31" t="s">
        <v>78</v>
      </c>
      <c r="B187" s="67">
        <v>169</v>
      </c>
      <c r="C187" s="50">
        <v>13</v>
      </c>
      <c r="D187" s="53">
        <v>1</v>
      </c>
      <c r="E187" s="35">
        <v>1</v>
      </c>
      <c r="F187" s="35">
        <f t="shared" si="21"/>
        <v>1</v>
      </c>
      <c r="G187" s="35" cm="1">
        <f t="array" ref="G187">IF(E187&lt;=INDEX($B$4:$B$17,C187),1,0)</f>
        <v>1</v>
      </c>
      <c r="H187" s="53">
        <v>132</v>
      </c>
      <c r="I187" s="54">
        <v>145</v>
      </c>
      <c r="J187" s="55">
        <f t="shared" si="23"/>
        <v>810</v>
      </c>
      <c r="K187" s="55">
        <f t="shared" si="22"/>
        <v>823</v>
      </c>
      <c r="L187" s="55">
        <f t="shared" si="24"/>
        <v>0</v>
      </c>
      <c r="M187" s="55">
        <f t="shared" si="25"/>
        <v>132</v>
      </c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110"/>
      <c r="AD187" s="110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  <c r="AP187" s="59"/>
      <c r="AQ187" s="59"/>
      <c r="AR187" s="59"/>
      <c r="AS187" s="59"/>
      <c r="AT187" s="59"/>
      <c r="AU187" s="59"/>
      <c r="AV187" s="59"/>
      <c r="AW187" s="59"/>
    </row>
    <row r="188" spans="1:49" x14ac:dyDescent="0.2">
      <c r="A188" s="31"/>
      <c r="B188" s="70">
        <v>170</v>
      </c>
      <c r="C188" s="51">
        <v>13</v>
      </c>
      <c r="D188" s="55">
        <v>2</v>
      </c>
      <c r="E188" s="37">
        <v>2</v>
      </c>
      <c r="F188" s="37">
        <f t="shared" si="21"/>
        <v>1</v>
      </c>
      <c r="G188" s="37" cm="1">
        <f t="array" ref="G188">IF(E188&lt;=INDEX($B$4:$B$17,C188),1,0)</f>
        <v>1</v>
      </c>
      <c r="H188" s="55">
        <v>142</v>
      </c>
      <c r="I188" s="56">
        <v>150</v>
      </c>
      <c r="J188" s="55">
        <f t="shared" si="23"/>
        <v>823</v>
      </c>
      <c r="K188" s="55">
        <f t="shared" si="22"/>
        <v>831</v>
      </c>
      <c r="L188" s="55">
        <f t="shared" si="24"/>
        <v>0</v>
      </c>
      <c r="M188" s="55">
        <f t="shared" si="25"/>
        <v>142</v>
      </c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110"/>
      <c r="AD188" s="110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  <c r="AP188" s="59"/>
      <c r="AQ188" s="59"/>
      <c r="AR188" s="59"/>
      <c r="AS188" s="59"/>
      <c r="AT188" s="59"/>
      <c r="AU188" s="59"/>
      <c r="AV188" s="59"/>
      <c r="AW188" s="59"/>
    </row>
    <row r="189" spans="1:49" x14ac:dyDescent="0.2">
      <c r="A189" s="31"/>
      <c r="B189" s="67">
        <v>171</v>
      </c>
      <c r="C189" s="51">
        <v>13</v>
      </c>
      <c r="D189" s="55">
        <v>3</v>
      </c>
      <c r="E189" s="37">
        <v>3</v>
      </c>
      <c r="F189" s="37">
        <f t="shared" si="21"/>
        <v>1</v>
      </c>
      <c r="G189" s="37" cm="1">
        <f t="array" ref="G189">IF(E189&lt;=INDEX($B$4:$B$17,C189),1,0)</f>
        <v>1</v>
      </c>
      <c r="H189" s="55">
        <v>138</v>
      </c>
      <c r="I189" s="56">
        <v>177</v>
      </c>
      <c r="J189" s="55">
        <f t="shared" si="23"/>
        <v>831</v>
      </c>
      <c r="K189" s="55">
        <f t="shared" si="22"/>
        <v>870</v>
      </c>
      <c r="L189" s="55">
        <f t="shared" si="24"/>
        <v>0</v>
      </c>
      <c r="M189" s="55">
        <f t="shared" si="25"/>
        <v>138</v>
      </c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110"/>
      <c r="AD189" s="110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  <c r="AP189" s="59"/>
      <c r="AQ189" s="59"/>
      <c r="AR189" s="59"/>
      <c r="AS189" s="59"/>
      <c r="AT189" s="59"/>
      <c r="AU189" s="59"/>
      <c r="AV189" s="59"/>
      <c r="AW189" s="59"/>
    </row>
    <row r="190" spans="1:49" x14ac:dyDescent="0.2">
      <c r="A190" s="31"/>
      <c r="B190" s="70">
        <v>172</v>
      </c>
      <c r="C190" s="51">
        <v>13</v>
      </c>
      <c r="D190" s="55">
        <v>4</v>
      </c>
      <c r="E190" s="37">
        <v>4</v>
      </c>
      <c r="F190" s="37">
        <f t="shared" si="21"/>
        <v>1</v>
      </c>
      <c r="G190" s="37" cm="1">
        <f t="array" ref="G190">IF(E190&lt;=INDEX($B$4:$B$17,C190),1,0)</f>
        <v>1</v>
      </c>
      <c r="H190" s="55">
        <v>130</v>
      </c>
      <c r="I190" s="56">
        <v>150</v>
      </c>
      <c r="J190" s="55">
        <f t="shared" si="23"/>
        <v>870</v>
      </c>
      <c r="K190" s="55">
        <f t="shared" si="22"/>
        <v>890</v>
      </c>
      <c r="L190" s="55">
        <f t="shared" si="24"/>
        <v>0</v>
      </c>
      <c r="M190" s="55">
        <f t="shared" si="25"/>
        <v>130</v>
      </c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110"/>
      <c r="AD190" s="110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  <c r="AP190" s="59"/>
      <c r="AQ190" s="59"/>
      <c r="AR190" s="59"/>
      <c r="AS190" s="59"/>
      <c r="AT190" s="59"/>
      <c r="AU190" s="59"/>
      <c r="AV190" s="59"/>
      <c r="AW190" s="59"/>
    </row>
    <row r="191" spans="1:49" x14ac:dyDescent="0.2">
      <c r="A191" s="31"/>
      <c r="B191" s="67">
        <v>173</v>
      </c>
      <c r="C191" s="51">
        <v>13</v>
      </c>
      <c r="D191" s="55">
        <v>5</v>
      </c>
      <c r="E191" s="37">
        <v>5</v>
      </c>
      <c r="F191" s="37">
        <f t="shared" si="21"/>
        <v>1</v>
      </c>
      <c r="G191" s="37" cm="1">
        <f t="array" ref="G191">IF(E191&lt;=INDEX($B$4:$B$17,C191),1,0)</f>
        <v>1</v>
      </c>
      <c r="H191" s="55">
        <v>143</v>
      </c>
      <c r="I191" s="56">
        <v>141</v>
      </c>
      <c r="J191" s="55">
        <f t="shared" si="23"/>
        <v>890</v>
      </c>
      <c r="K191" s="55">
        <f t="shared" si="22"/>
        <v>888</v>
      </c>
      <c r="L191" s="55">
        <f t="shared" si="24"/>
        <v>0</v>
      </c>
      <c r="M191" s="55">
        <f t="shared" si="25"/>
        <v>143</v>
      </c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110"/>
      <c r="AD191" s="110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  <c r="AP191" s="59"/>
      <c r="AQ191" s="59"/>
      <c r="AR191" s="59"/>
      <c r="AS191" s="59"/>
      <c r="AT191" s="59"/>
      <c r="AU191" s="59"/>
      <c r="AV191" s="59"/>
      <c r="AW191" s="59"/>
    </row>
    <row r="192" spans="1:49" x14ac:dyDescent="0.2">
      <c r="A192" s="31"/>
      <c r="B192" s="70">
        <v>174</v>
      </c>
      <c r="C192" s="51">
        <v>13</v>
      </c>
      <c r="D192" s="55">
        <v>6</v>
      </c>
      <c r="E192" s="37">
        <v>6</v>
      </c>
      <c r="F192" s="37">
        <f t="shared" si="21"/>
        <v>0</v>
      </c>
      <c r="G192" s="37" cm="1">
        <f t="array" ref="G192">IF(E192&lt;=INDEX($B$4:$B$17,C192),1,0)</f>
        <v>1</v>
      </c>
      <c r="H192" s="55">
        <v>157</v>
      </c>
      <c r="I192" s="56">
        <v>0</v>
      </c>
      <c r="J192" s="55">
        <f t="shared" si="23"/>
        <v>888</v>
      </c>
      <c r="K192" s="55">
        <f t="shared" si="22"/>
        <v>731</v>
      </c>
      <c r="L192" s="55">
        <f t="shared" si="24"/>
        <v>0</v>
      </c>
      <c r="M192" s="55">
        <f t="shared" si="25"/>
        <v>157</v>
      </c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110"/>
      <c r="AD192" s="110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  <c r="AP192" s="59"/>
      <c r="AQ192" s="59"/>
      <c r="AR192" s="59"/>
      <c r="AS192" s="59"/>
      <c r="AT192" s="59"/>
      <c r="AU192" s="59"/>
      <c r="AV192" s="59"/>
      <c r="AW192" s="59"/>
    </row>
    <row r="193" spans="1:49" x14ac:dyDescent="0.2">
      <c r="A193" s="31"/>
      <c r="B193" s="67">
        <v>175</v>
      </c>
      <c r="C193" s="51">
        <v>13</v>
      </c>
      <c r="D193" s="55">
        <v>7</v>
      </c>
      <c r="E193" s="37">
        <v>7</v>
      </c>
      <c r="F193" s="37">
        <f t="shared" si="21"/>
        <v>0</v>
      </c>
      <c r="G193" s="37" cm="1">
        <f t="array" ref="G193">IF(E193&lt;=INDEX($B$4:$B$17,C193),1,0)</f>
        <v>0</v>
      </c>
      <c r="H193" s="55">
        <v>0</v>
      </c>
      <c r="I193" s="56">
        <v>0</v>
      </c>
      <c r="J193" s="55">
        <f t="shared" si="23"/>
        <v>731</v>
      </c>
      <c r="K193" s="55">
        <f t="shared" si="22"/>
        <v>731</v>
      </c>
      <c r="L193" s="55">
        <f t="shared" si="24"/>
        <v>0</v>
      </c>
      <c r="M193" s="55" t="str">
        <f t="shared" si="25"/>
        <v/>
      </c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110"/>
      <c r="AD193" s="110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  <c r="AP193" s="59"/>
      <c r="AQ193" s="59"/>
      <c r="AR193" s="59"/>
      <c r="AS193" s="59"/>
      <c r="AT193" s="59"/>
      <c r="AU193" s="59"/>
      <c r="AV193" s="59"/>
      <c r="AW193" s="59"/>
    </row>
    <row r="194" spans="1:49" x14ac:dyDescent="0.2">
      <c r="A194" s="31"/>
      <c r="B194" s="70">
        <v>176</v>
      </c>
      <c r="C194" s="51">
        <v>13</v>
      </c>
      <c r="D194" s="55">
        <v>8</v>
      </c>
      <c r="E194" s="35">
        <v>1</v>
      </c>
      <c r="F194" s="35">
        <f t="shared" si="21"/>
        <v>1</v>
      </c>
      <c r="G194" s="37" cm="1">
        <f t="array" ref="G194">IF(E194&lt;=INDEX($B$4:$B$17,C194),1,0)</f>
        <v>1</v>
      </c>
      <c r="H194" s="55">
        <v>145</v>
      </c>
      <c r="I194" s="56">
        <v>143</v>
      </c>
      <c r="J194" s="55">
        <f t="shared" si="23"/>
        <v>731</v>
      </c>
      <c r="K194" s="55">
        <f t="shared" si="22"/>
        <v>729</v>
      </c>
      <c r="L194" s="55">
        <f t="shared" si="24"/>
        <v>0</v>
      </c>
      <c r="M194" s="55">
        <f t="shared" si="25"/>
        <v>145</v>
      </c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110"/>
      <c r="AD194" s="110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  <c r="AP194" s="59"/>
      <c r="AQ194" s="59"/>
      <c r="AR194" s="59"/>
      <c r="AS194" s="59"/>
      <c r="AT194" s="59"/>
      <c r="AU194" s="59"/>
      <c r="AV194" s="59"/>
      <c r="AW194" s="59"/>
    </row>
    <row r="195" spans="1:49" x14ac:dyDescent="0.2">
      <c r="A195" s="31"/>
      <c r="B195" s="67">
        <v>177</v>
      </c>
      <c r="C195" s="51">
        <v>13</v>
      </c>
      <c r="D195" s="55">
        <v>9</v>
      </c>
      <c r="E195" s="37">
        <v>2</v>
      </c>
      <c r="F195" s="37">
        <f t="shared" si="21"/>
        <v>1</v>
      </c>
      <c r="G195" s="37" cm="1">
        <f t="array" ref="G195">IF(E195&lt;=INDEX($B$4:$B$17,C195),1,0)</f>
        <v>1</v>
      </c>
      <c r="H195" s="55">
        <v>138</v>
      </c>
      <c r="I195" s="56">
        <v>158</v>
      </c>
      <c r="J195" s="55">
        <f t="shared" si="23"/>
        <v>729</v>
      </c>
      <c r="K195" s="55">
        <f t="shared" si="22"/>
        <v>749</v>
      </c>
      <c r="L195" s="55">
        <f t="shared" si="24"/>
        <v>0</v>
      </c>
      <c r="M195" s="55">
        <f t="shared" si="25"/>
        <v>138</v>
      </c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110"/>
      <c r="AD195" s="110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  <c r="AP195" s="59"/>
      <c r="AQ195" s="59"/>
      <c r="AR195" s="59"/>
      <c r="AS195" s="59"/>
      <c r="AT195" s="59"/>
      <c r="AU195" s="59"/>
      <c r="AV195" s="59"/>
      <c r="AW195" s="59"/>
    </row>
    <row r="196" spans="1:49" x14ac:dyDescent="0.2">
      <c r="A196" s="31"/>
      <c r="B196" s="70">
        <v>178</v>
      </c>
      <c r="C196" s="51">
        <v>13</v>
      </c>
      <c r="D196" s="55">
        <v>10</v>
      </c>
      <c r="E196" s="37">
        <v>3</v>
      </c>
      <c r="F196" s="37">
        <f t="shared" si="21"/>
        <v>1</v>
      </c>
      <c r="G196" s="37" cm="1">
        <f t="array" ref="G196">IF(E196&lt;=INDEX($B$4:$B$17,C196),1,0)</f>
        <v>1</v>
      </c>
      <c r="H196" s="55">
        <v>136</v>
      </c>
      <c r="I196" s="56">
        <v>163</v>
      </c>
      <c r="J196" s="55">
        <f t="shared" si="23"/>
        <v>749</v>
      </c>
      <c r="K196" s="55">
        <f t="shared" si="22"/>
        <v>776</v>
      </c>
      <c r="L196" s="55">
        <f t="shared" si="24"/>
        <v>0</v>
      </c>
      <c r="M196" s="55">
        <f t="shared" si="25"/>
        <v>136</v>
      </c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110"/>
      <c r="AD196" s="110"/>
      <c r="AE196" s="111"/>
      <c r="AF196" s="111"/>
      <c r="AG196" s="111"/>
      <c r="AH196" s="111"/>
      <c r="AI196" s="111"/>
      <c r="AJ196" s="111"/>
      <c r="AK196" s="111"/>
      <c r="AL196" s="111"/>
      <c r="AM196" s="111"/>
      <c r="AN196" s="111"/>
      <c r="AO196" s="111"/>
      <c r="AP196" s="59"/>
      <c r="AQ196" s="59"/>
      <c r="AR196" s="59"/>
      <c r="AS196" s="59"/>
      <c r="AT196" s="59"/>
      <c r="AU196" s="59"/>
      <c r="AV196" s="59"/>
      <c r="AW196" s="59"/>
    </row>
    <row r="197" spans="1:49" x14ac:dyDescent="0.2">
      <c r="A197" s="31"/>
      <c r="B197" s="67">
        <v>179</v>
      </c>
      <c r="C197" s="51">
        <v>13</v>
      </c>
      <c r="D197" s="55">
        <v>11</v>
      </c>
      <c r="E197" s="37">
        <v>4</v>
      </c>
      <c r="F197" s="37">
        <f t="shared" si="21"/>
        <v>1</v>
      </c>
      <c r="G197" s="37" cm="1">
        <f t="array" ref="G197">IF(E197&lt;=INDEX($B$4:$B$17,C197),1,0)</f>
        <v>1</v>
      </c>
      <c r="H197" s="55">
        <v>151</v>
      </c>
      <c r="I197" s="56">
        <v>128</v>
      </c>
      <c r="J197" s="55">
        <f t="shared" si="23"/>
        <v>776</v>
      </c>
      <c r="K197" s="55">
        <f t="shared" si="22"/>
        <v>753</v>
      </c>
      <c r="L197" s="55">
        <f t="shared" si="24"/>
        <v>0</v>
      </c>
      <c r="M197" s="55">
        <f t="shared" si="25"/>
        <v>151</v>
      </c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110"/>
      <c r="AD197" s="110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  <c r="AP197" s="59"/>
      <c r="AQ197" s="59"/>
      <c r="AR197" s="59"/>
      <c r="AS197" s="59"/>
      <c r="AT197" s="59"/>
      <c r="AU197" s="59"/>
      <c r="AV197" s="59"/>
      <c r="AW197" s="59"/>
    </row>
    <row r="198" spans="1:49" x14ac:dyDescent="0.2">
      <c r="A198" s="31"/>
      <c r="B198" s="70">
        <v>180</v>
      </c>
      <c r="C198" s="51">
        <v>13</v>
      </c>
      <c r="D198" s="55">
        <v>12</v>
      </c>
      <c r="E198" s="37">
        <v>5</v>
      </c>
      <c r="F198" s="37">
        <f t="shared" si="21"/>
        <v>1</v>
      </c>
      <c r="G198" s="37" cm="1">
        <f t="array" ref="G198">IF(E198&lt;=INDEX($B$4:$B$17,C198),1,0)</f>
        <v>1</v>
      </c>
      <c r="H198" s="55">
        <v>141</v>
      </c>
      <c r="I198" s="56">
        <v>129</v>
      </c>
      <c r="J198" s="55">
        <f t="shared" si="23"/>
        <v>753</v>
      </c>
      <c r="K198" s="55">
        <f t="shared" si="22"/>
        <v>741</v>
      </c>
      <c r="L198" s="55">
        <f t="shared" si="24"/>
        <v>0</v>
      </c>
      <c r="M198" s="55">
        <f t="shared" si="25"/>
        <v>141</v>
      </c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110"/>
      <c r="AD198" s="110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  <c r="AP198" s="59"/>
      <c r="AQ198" s="59"/>
      <c r="AR198" s="59"/>
      <c r="AS198" s="59"/>
      <c r="AT198" s="59"/>
      <c r="AU198" s="59"/>
      <c r="AV198" s="59"/>
      <c r="AW198" s="59"/>
    </row>
    <row r="199" spans="1:49" x14ac:dyDescent="0.2">
      <c r="A199" s="31"/>
      <c r="B199" s="67">
        <v>181</v>
      </c>
      <c r="C199" s="51">
        <v>13</v>
      </c>
      <c r="D199" s="55">
        <v>13</v>
      </c>
      <c r="E199" s="37">
        <v>6</v>
      </c>
      <c r="F199" s="37">
        <f t="shared" si="21"/>
        <v>0</v>
      </c>
      <c r="G199" s="37" cm="1">
        <f t="array" ref="G199">IF(E199&lt;=INDEX($B$4:$B$17,C199),1,0)</f>
        <v>1</v>
      </c>
      <c r="H199" s="55">
        <v>150</v>
      </c>
      <c r="I199" s="56">
        <v>0</v>
      </c>
      <c r="J199" s="55">
        <f t="shared" si="23"/>
        <v>741</v>
      </c>
      <c r="K199" s="55">
        <f t="shared" si="22"/>
        <v>591</v>
      </c>
      <c r="L199" s="55">
        <f t="shared" si="24"/>
        <v>0</v>
      </c>
      <c r="M199" s="55">
        <f t="shared" si="25"/>
        <v>150</v>
      </c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110"/>
      <c r="AD199" s="110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  <c r="AP199" s="59"/>
      <c r="AQ199" s="59"/>
      <c r="AR199" s="59"/>
      <c r="AS199" s="59"/>
      <c r="AT199" s="59"/>
      <c r="AU199" s="59"/>
      <c r="AV199" s="59"/>
      <c r="AW199" s="59"/>
    </row>
    <row r="200" spans="1:49" x14ac:dyDescent="0.2">
      <c r="A200" s="31"/>
      <c r="B200" s="70">
        <v>182</v>
      </c>
      <c r="C200" s="52">
        <v>13</v>
      </c>
      <c r="D200" s="57">
        <v>14</v>
      </c>
      <c r="E200" s="37">
        <v>7</v>
      </c>
      <c r="F200" s="37">
        <f t="shared" si="21"/>
        <v>0</v>
      </c>
      <c r="G200" s="37" cm="1">
        <f t="array" ref="G200">IF(E200&lt;=INDEX($B$4:$B$17,C200),1,0)</f>
        <v>0</v>
      </c>
      <c r="H200" s="57">
        <v>0</v>
      </c>
      <c r="I200" s="58">
        <v>0</v>
      </c>
      <c r="J200" s="55">
        <f t="shared" si="23"/>
        <v>591</v>
      </c>
      <c r="K200" s="55">
        <f t="shared" si="22"/>
        <v>591</v>
      </c>
      <c r="L200" s="55">
        <f t="shared" si="24"/>
        <v>0</v>
      </c>
      <c r="M200" s="55" t="str">
        <f t="shared" si="25"/>
        <v/>
      </c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110"/>
      <c r="AD200" s="110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  <c r="AP200" s="59"/>
      <c r="AQ200" s="59"/>
      <c r="AR200" s="59"/>
      <c r="AS200" s="59"/>
      <c r="AT200" s="59"/>
      <c r="AU200" s="59"/>
      <c r="AV200" s="59"/>
      <c r="AW200" s="59"/>
    </row>
    <row r="201" spans="1:49" x14ac:dyDescent="0.2">
      <c r="A201" s="31" t="s">
        <v>74</v>
      </c>
      <c r="B201" s="67">
        <v>183</v>
      </c>
      <c r="C201" s="50">
        <v>14</v>
      </c>
      <c r="D201" s="53">
        <v>1</v>
      </c>
      <c r="E201" s="35">
        <v>1</v>
      </c>
      <c r="F201" s="35">
        <f t="shared" si="21"/>
        <v>1</v>
      </c>
      <c r="G201" s="35" cm="1">
        <f t="array" ref="G201">IF(E201&lt;=INDEX($B$4:$B$17,C201),1,0)</f>
        <v>1</v>
      </c>
      <c r="H201" s="53">
        <v>148</v>
      </c>
      <c r="I201" s="54">
        <v>140</v>
      </c>
      <c r="J201" s="55">
        <f t="shared" si="23"/>
        <v>591</v>
      </c>
      <c r="K201" s="55">
        <f t="shared" si="22"/>
        <v>583</v>
      </c>
      <c r="L201" s="55">
        <f t="shared" si="24"/>
        <v>0</v>
      </c>
      <c r="M201" s="55">
        <f t="shared" si="25"/>
        <v>148</v>
      </c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110"/>
      <c r="AD201" s="110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  <c r="AP201" s="59"/>
      <c r="AQ201" s="59"/>
      <c r="AR201" s="59"/>
      <c r="AS201" s="59"/>
      <c r="AT201" s="59"/>
      <c r="AU201" s="59"/>
      <c r="AV201" s="59"/>
      <c r="AW201" s="59"/>
    </row>
    <row r="202" spans="1:49" x14ac:dyDescent="0.2">
      <c r="A202" s="31"/>
      <c r="B202" s="70">
        <v>184</v>
      </c>
      <c r="C202" s="51">
        <v>14</v>
      </c>
      <c r="D202" s="55">
        <v>2</v>
      </c>
      <c r="E202" s="37">
        <v>2</v>
      </c>
      <c r="F202" s="37">
        <f t="shared" si="21"/>
        <v>1</v>
      </c>
      <c r="G202" s="37" cm="1">
        <f t="array" ref="G202">IF(E202&lt;=INDEX($B$4:$B$17,C202),1,0)</f>
        <v>1</v>
      </c>
      <c r="H202" s="55">
        <v>133</v>
      </c>
      <c r="I202" s="56">
        <v>150</v>
      </c>
      <c r="J202" s="55">
        <f t="shared" si="23"/>
        <v>583</v>
      </c>
      <c r="K202" s="55">
        <f t="shared" si="22"/>
        <v>600</v>
      </c>
      <c r="L202" s="55">
        <f t="shared" si="24"/>
        <v>0</v>
      </c>
      <c r="M202" s="55">
        <f t="shared" si="25"/>
        <v>133</v>
      </c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110"/>
      <c r="AD202" s="110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09"/>
      <c r="AO202" s="109"/>
    </row>
    <row r="203" spans="1:49" x14ac:dyDescent="0.2">
      <c r="A203" s="31"/>
      <c r="B203" s="67">
        <v>185</v>
      </c>
      <c r="C203" s="51">
        <v>14</v>
      </c>
      <c r="D203" s="55">
        <v>3</v>
      </c>
      <c r="E203" s="37">
        <v>3</v>
      </c>
      <c r="F203" s="37">
        <f t="shared" si="21"/>
        <v>1</v>
      </c>
      <c r="G203" s="37" cm="1">
        <f t="array" ref="G203">IF(E203&lt;=INDEX($B$4:$B$17,C203),1,0)</f>
        <v>1</v>
      </c>
      <c r="H203" s="55">
        <v>131</v>
      </c>
      <c r="I203" s="56">
        <v>171</v>
      </c>
      <c r="J203" s="55">
        <f t="shared" si="23"/>
        <v>600</v>
      </c>
      <c r="K203" s="55">
        <f t="shared" si="22"/>
        <v>640</v>
      </c>
      <c r="L203" s="55">
        <f t="shared" si="24"/>
        <v>0</v>
      </c>
      <c r="M203" s="55">
        <f t="shared" si="25"/>
        <v>131</v>
      </c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110"/>
      <c r="AD203" s="110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09"/>
      <c r="AO203" s="109"/>
    </row>
    <row r="204" spans="1:49" x14ac:dyDescent="0.2">
      <c r="A204" s="31"/>
      <c r="B204" s="70">
        <v>186</v>
      </c>
      <c r="C204" s="51">
        <v>14</v>
      </c>
      <c r="D204" s="55">
        <v>4</v>
      </c>
      <c r="E204" s="37">
        <v>4</v>
      </c>
      <c r="F204" s="37">
        <f t="shared" si="21"/>
        <v>1</v>
      </c>
      <c r="G204" s="37" cm="1">
        <f t="array" ref="G204">IF(E204&lt;=INDEX($B$4:$B$17,C204),1,0)</f>
        <v>1</v>
      </c>
      <c r="H204" s="55">
        <v>140</v>
      </c>
      <c r="I204" s="56">
        <v>127</v>
      </c>
      <c r="J204" s="55">
        <f t="shared" si="23"/>
        <v>640</v>
      </c>
      <c r="K204" s="55">
        <f t="shared" si="22"/>
        <v>627</v>
      </c>
      <c r="L204" s="55">
        <f t="shared" si="24"/>
        <v>0</v>
      </c>
      <c r="M204" s="55">
        <f t="shared" si="25"/>
        <v>140</v>
      </c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110"/>
      <c r="AD204" s="110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09"/>
      <c r="AO204" s="109"/>
    </row>
    <row r="205" spans="1:49" x14ac:dyDescent="0.2">
      <c r="A205" s="31"/>
      <c r="B205" s="67">
        <v>187</v>
      </c>
      <c r="C205" s="51">
        <v>14</v>
      </c>
      <c r="D205" s="55">
        <v>5</v>
      </c>
      <c r="E205" s="37">
        <v>5</v>
      </c>
      <c r="F205" s="37">
        <f t="shared" si="21"/>
        <v>1</v>
      </c>
      <c r="G205" s="37" cm="1">
        <f t="array" ref="G205">IF(E205&lt;=INDEX($B$4:$B$17,C205),1,0)</f>
        <v>1</v>
      </c>
      <c r="H205" s="55">
        <v>156</v>
      </c>
      <c r="I205" s="56">
        <v>98</v>
      </c>
      <c r="J205" s="55">
        <f t="shared" si="23"/>
        <v>627</v>
      </c>
      <c r="K205" s="55">
        <f t="shared" si="22"/>
        <v>569</v>
      </c>
      <c r="L205" s="55">
        <f t="shared" si="24"/>
        <v>0</v>
      </c>
      <c r="M205" s="55">
        <f t="shared" si="25"/>
        <v>156</v>
      </c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110"/>
      <c r="AD205" s="110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09"/>
      <c r="AO205" s="109"/>
    </row>
    <row r="206" spans="1:49" x14ac:dyDescent="0.2">
      <c r="A206" s="31"/>
      <c r="B206" s="70">
        <v>188</v>
      </c>
      <c r="C206" s="51">
        <v>14</v>
      </c>
      <c r="D206" s="55">
        <v>6</v>
      </c>
      <c r="E206" s="37">
        <v>6</v>
      </c>
      <c r="F206" s="37">
        <f t="shared" si="21"/>
        <v>0</v>
      </c>
      <c r="G206" s="37" cm="1">
        <f t="array" ref="G206">IF(E206&lt;=INDEX($B$4:$B$17,C206),1,0)</f>
        <v>1</v>
      </c>
      <c r="H206" s="55">
        <v>145</v>
      </c>
      <c r="I206" s="56">
        <v>0</v>
      </c>
      <c r="J206" s="55">
        <f t="shared" si="23"/>
        <v>569</v>
      </c>
      <c r="K206" s="55">
        <f t="shared" si="22"/>
        <v>424</v>
      </c>
      <c r="L206" s="55">
        <f t="shared" si="24"/>
        <v>0</v>
      </c>
      <c r="M206" s="55">
        <f t="shared" si="25"/>
        <v>145</v>
      </c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110"/>
      <c r="AD206" s="110"/>
      <c r="AE206" s="111"/>
      <c r="AF206" s="111"/>
      <c r="AG206" s="111"/>
      <c r="AH206" s="111"/>
      <c r="AI206" s="111"/>
      <c r="AJ206" s="111"/>
      <c r="AK206" s="111"/>
      <c r="AL206" s="111"/>
      <c r="AM206" s="111"/>
      <c r="AN206" s="109"/>
      <c r="AO206" s="109"/>
    </row>
    <row r="207" spans="1:49" x14ac:dyDescent="0.2">
      <c r="A207" s="31"/>
      <c r="B207" s="67">
        <v>189</v>
      </c>
      <c r="C207" s="51">
        <v>14</v>
      </c>
      <c r="D207" s="55">
        <v>7</v>
      </c>
      <c r="E207" s="37">
        <v>7</v>
      </c>
      <c r="F207" s="37">
        <f t="shared" si="21"/>
        <v>0</v>
      </c>
      <c r="G207" s="37" cm="1">
        <f t="array" ref="G207">IF(E207&lt;=INDEX($B$4:$B$17,C207),1,0)</f>
        <v>0</v>
      </c>
      <c r="H207" s="55">
        <v>0</v>
      </c>
      <c r="I207" s="56">
        <v>0</v>
      </c>
      <c r="J207" s="55">
        <f t="shared" si="23"/>
        <v>424</v>
      </c>
      <c r="K207" s="55">
        <f t="shared" si="22"/>
        <v>424</v>
      </c>
      <c r="L207" s="55">
        <f t="shared" si="24"/>
        <v>0</v>
      </c>
      <c r="M207" s="55" t="str">
        <f t="shared" si="25"/>
        <v/>
      </c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110"/>
      <c r="AD207" s="110"/>
      <c r="AE207" s="111"/>
      <c r="AF207" s="111"/>
      <c r="AG207" s="111"/>
      <c r="AH207" s="111"/>
      <c r="AI207" s="111"/>
      <c r="AJ207" s="111"/>
      <c r="AK207" s="111"/>
      <c r="AL207" s="111"/>
      <c r="AM207" s="111"/>
      <c r="AN207" s="109"/>
      <c r="AO207" s="109"/>
    </row>
    <row r="208" spans="1:49" x14ac:dyDescent="0.2">
      <c r="A208" s="31"/>
      <c r="B208" s="70">
        <v>190</v>
      </c>
      <c r="C208" s="51">
        <v>14</v>
      </c>
      <c r="D208" s="55">
        <v>8</v>
      </c>
      <c r="E208" s="35">
        <v>1</v>
      </c>
      <c r="F208" s="35">
        <f t="shared" si="21"/>
        <v>1</v>
      </c>
      <c r="G208" s="37" cm="1">
        <f t="array" ref="G208">IF(E208&lt;=INDEX($B$4:$B$17,C208),1,0)</f>
        <v>1</v>
      </c>
      <c r="H208" s="55">
        <v>158</v>
      </c>
      <c r="I208" s="56">
        <v>133</v>
      </c>
      <c r="J208" s="55">
        <f t="shared" si="23"/>
        <v>424</v>
      </c>
      <c r="K208" s="55">
        <f t="shared" si="22"/>
        <v>399</v>
      </c>
      <c r="L208" s="55">
        <f t="shared" si="24"/>
        <v>0</v>
      </c>
      <c r="M208" s="55">
        <f t="shared" si="25"/>
        <v>158</v>
      </c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110"/>
      <c r="AD208" s="110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09"/>
      <c r="AO208" s="109"/>
    </row>
    <row r="209" spans="1:41" x14ac:dyDescent="0.2">
      <c r="A209" s="31"/>
      <c r="B209" s="67">
        <v>191</v>
      </c>
      <c r="C209" s="51">
        <v>14</v>
      </c>
      <c r="D209" s="55">
        <v>9</v>
      </c>
      <c r="E209" s="37">
        <v>2</v>
      </c>
      <c r="F209" s="37">
        <f t="shared" si="21"/>
        <v>1</v>
      </c>
      <c r="G209" s="37" cm="1">
        <f t="array" ref="G209">IF(E209&lt;=INDEX($B$4:$B$17,C209),1,0)</f>
        <v>1</v>
      </c>
      <c r="H209" s="55">
        <v>158</v>
      </c>
      <c r="I209" s="56">
        <v>141</v>
      </c>
      <c r="J209" s="55">
        <f t="shared" si="23"/>
        <v>399</v>
      </c>
      <c r="K209" s="55">
        <f t="shared" si="22"/>
        <v>382</v>
      </c>
      <c r="L209" s="55">
        <f t="shared" si="24"/>
        <v>0</v>
      </c>
      <c r="M209" s="55">
        <f t="shared" si="25"/>
        <v>158</v>
      </c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110"/>
      <c r="AD209" s="110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09"/>
      <c r="AO209" s="109"/>
    </row>
    <row r="210" spans="1:41" x14ac:dyDescent="0.2">
      <c r="A210" s="31"/>
      <c r="B210" s="70">
        <v>192</v>
      </c>
      <c r="C210" s="51">
        <v>14</v>
      </c>
      <c r="D210" s="55">
        <v>10</v>
      </c>
      <c r="E210" s="37">
        <v>3</v>
      </c>
      <c r="F210" s="37">
        <f t="shared" si="21"/>
        <v>1</v>
      </c>
      <c r="G210" s="37" cm="1">
        <f t="array" ref="G210">IF(E210&lt;=INDEX($B$4:$B$17,C210),1,0)</f>
        <v>1</v>
      </c>
      <c r="H210" s="55">
        <v>152</v>
      </c>
      <c r="I210" s="56">
        <v>171</v>
      </c>
      <c r="J210" s="55">
        <f t="shared" si="23"/>
        <v>382</v>
      </c>
      <c r="K210" s="55">
        <f t="shared" si="22"/>
        <v>401</v>
      </c>
      <c r="L210" s="55">
        <f t="shared" si="24"/>
        <v>0</v>
      </c>
      <c r="M210" s="55">
        <f t="shared" si="25"/>
        <v>152</v>
      </c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110"/>
      <c r="AD210" s="110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09"/>
      <c r="AO210" s="109"/>
    </row>
    <row r="211" spans="1:41" x14ac:dyDescent="0.2">
      <c r="A211" s="31"/>
      <c r="B211" s="67">
        <v>193</v>
      </c>
      <c r="C211" s="51">
        <v>14</v>
      </c>
      <c r="D211" s="55">
        <v>11</v>
      </c>
      <c r="E211" s="37">
        <v>4</v>
      </c>
      <c r="F211" s="37">
        <f t="shared" si="21"/>
        <v>1</v>
      </c>
      <c r="G211" s="37" cm="1">
        <f t="array" ref="G211">IF(E211&lt;=INDEX($B$4:$B$17,C211),1,0)</f>
        <v>1</v>
      </c>
      <c r="H211" s="55">
        <v>144</v>
      </c>
      <c r="I211" s="56">
        <v>157</v>
      </c>
      <c r="J211" s="55">
        <f t="shared" si="23"/>
        <v>401</v>
      </c>
      <c r="K211" s="55">
        <f t="shared" si="22"/>
        <v>414</v>
      </c>
      <c r="L211" s="55">
        <f t="shared" si="24"/>
        <v>0</v>
      </c>
      <c r="M211" s="55">
        <f t="shared" si="25"/>
        <v>144</v>
      </c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110"/>
      <c r="AD211" s="110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09"/>
      <c r="AO211" s="109"/>
    </row>
    <row r="212" spans="1:41" x14ac:dyDescent="0.2">
      <c r="A212" s="31"/>
      <c r="B212" s="70">
        <v>194</v>
      </c>
      <c r="C212" s="51">
        <v>14</v>
      </c>
      <c r="D212" s="55">
        <v>12</v>
      </c>
      <c r="E212" s="37">
        <v>5</v>
      </c>
      <c r="F212" s="55">
        <v>0</v>
      </c>
      <c r="G212" s="37" cm="1">
        <f t="array" ref="G212">IF(E212&lt;=INDEX($B$4:$B$17,C212),1,0)</f>
        <v>1</v>
      </c>
      <c r="H212" s="55">
        <v>119</v>
      </c>
      <c r="I212" s="56">
        <v>0</v>
      </c>
      <c r="J212" s="55">
        <f t="shared" si="23"/>
        <v>414</v>
      </c>
      <c r="K212" s="55">
        <f t="shared" ref="K212:K214" si="26">J212+I212-H212</f>
        <v>295</v>
      </c>
      <c r="L212" s="55">
        <f t="shared" si="24"/>
        <v>0</v>
      </c>
      <c r="M212" s="55">
        <f t="shared" si="25"/>
        <v>119</v>
      </c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110"/>
      <c r="AD212" s="110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09"/>
      <c r="AO212" s="109"/>
    </row>
    <row r="213" spans="1:41" x14ac:dyDescent="0.2">
      <c r="A213" s="31"/>
      <c r="B213" s="67">
        <v>195</v>
      </c>
      <c r="C213" s="51">
        <v>14</v>
      </c>
      <c r="D213" s="55">
        <v>13</v>
      </c>
      <c r="E213" s="37">
        <v>6</v>
      </c>
      <c r="F213" s="55">
        <v>0</v>
      </c>
      <c r="G213" s="37" cm="1">
        <f t="array" ref="G213">IF(E213&lt;=INDEX($B$4:$B$17,C213),1,0)</f>
        <v>1</v>
      </c>
      <c r="H213" s="55">
        <v>123</v>
      </c>
      <c r="I213" s="56">
        <v>0</v>
      </c>
      <c r="J213" s="55">
        <f t="shared" ref="J213:J214" si="27">K212</f>
        <v>295</v>
      </c>
      <c r="K213" s="55">
        <f t="shared" si="26"/>
        <v>172</v>
      </c>
      <c r="L213" s="55">
        <f t="shared" ref="L213:L214" si="28">IF(AND(H213=J213,G213),1,0)</f>
        <v>0</v>
      </c>
      <c r="M213" s="55">
        <f t="shared" ref="M213:M214" si="29">IF(OR(G213=0,L213=1),"",H213)</f>
        <v>123</v>
      </c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110"/>
      <c r="AD213" s="110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09"/>
      <c r="AO213" s="109"/>
    </row>
    <row r="214" spans="1:41" x14ac:dyDescent="0.2">
      <c r="A214" s="31"/>
      <c r="B214" s="70">
        <v>196</v>
      </c>
      <c r="C214" s="52">
        <v>14</v>
      </c>
      <c r="D214" s="57">
        <v>14</v>
      </c>
      <c r="E214" s="39">
        <v>7</v>
      </c>
      <c r="F214" s="57">
        <v>0</v>
      </c>
      <c r="G214" s="39" cm="1">
        <f t="array" ref="G214">IF(E214&lt;=INDEX($B$4:$B$17,C214),1,0)</f>
        <v>0</v>
      </c>
      <c r="H214" s="57">
        <v>0</v>
      </c>
      <c r="I214" s="58">
        <v>0</v>
      </c>
      <c r="J214" s="55">
        <f t="shared" si="27"/>
        <v>172</v>
      </c>
      <c r="K214" s="55">
        <f t="shared" si="26"/>
        <v>172</v>
      </c>
      <c r="L214" s="55">
        <f t="shared" si="28"/>
        <v>0</v>
      </c>
      <c r="M214" s="55" t="str">
        <f t="shared" si="29"/>
        <v/>
      </c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110"/>
      <c r="AD214" s="110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09"/>
      <c r="AO214" s="109"/>
    </row>
    <row r="215" spans="1:41" s="31" customFormat="1" x14ac:dyDescent="0.2">
      <c r="B215" s="71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74"/>
      <c r="AO215" s="74"/>
    </row>
    <row r="216" spans="1:41" s="31" customFormat="1" x14ac:dyDescent="0.2">
      <c r="B216" s="71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74"/>
      <c r="AO216" s="74"/>
    </row>
    <row r="217" spans="1:41" s="31" customFormat="1" x14ac:dyDescent="0.2">
      <c r="B217" s="71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74"/>
      <c r="AO217" s="74"/>
    </row>
    <row r="218" spans="1:41" s="31" customFormat="1" x14ac:dyDescent="0.2">
      <c r="B218" s="71"/>
    </row>
    <row r="219" spans="1:41" s="31" customFormat="1" x14ac:dyDescent="0.2">
      <c r="B219" s="71"/>
    </row>
    <row r="220" spans="1:41" s="31" customFormat="1" x14ac:dyDescent="0.2">
      <c r="B220" s="71"/>
    </row>
    <row r="221" spans="1:41" s="31" customFormat="1" x14ac:dyDescent="0.2">
      <c r="B221" s="71"/>
    </row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3FCB-5757-4666-8AD8-9F159A9D290C}">
  <sheetPr codeName="Sheet3"/>
  <dimension ref="A1:BB223"/>
  <sheetViews>
    <sheetView zoomScale="80" zoomScaleNormal="80" workbookViewId="0">
      <selection activeCell="R12" sqref="R12:R13"/>
    </sheetView>
  </sheetViews>
  <sheetFormatPr baseColWidth="10" defaultColWidth="8.83203125" defaultRowHeight="15" x14ac:dyDescent="0.2"/>
  <cols>
    <col min="1" max="1" width="9.1640625" customWidth="1"/>
    <col min="2" max="2" width="8.6640625" style="72" customWidth="1"/>
    <col min="3" max="3" width="9.5" customWidth="1"/>
    <col min="9" max="9" width="13.6640625" customWidth="1"/>
    <col min="10" max="10" width="10.5" bestFit="1" customWidth="1"/>
    <col min="11" max="11" width="11.83203125" customWidth="1"/>
    <col min="12" max="12" width="11.33203125" customWidth="1"/>
    <col min="13" max="13" width="10" customWidth="1"/>
    <col min="14" max="15" width="10.33203125" customWidth="1"/>
    <col min="16" max="16" width="13.83203125" customWidth="1"/>
    <col min="18" max="18" width="10" customWidth="1"/>
    <col min="20" max="20" width="11.1640625" customWidth="1"/>
    <col min="24" max="24" width="9.6640625" customWidth="1"/>
    <col min="25" max="25" width="10.5" style="82" customWidth="1"/>
    <col min="27" max="27" width="11.6640625" customWidth="1"/>
    <col min="28" max="28" width="13" style="82" bestFit="1" customWidth="1"/>
    <col min="30" max="30" width="9.83203125" customWidth="1"/>
    <col min="32" max="32" width="2.6640625" customWidth="1"/>
    <col min="36" max="36" width="9" customWidth="1"/>
  </cols>
  <sheetData>
    <row r="1" spans="1:54" x14ac:dyDescent="0.2">
      <c r="A1" s="26"/>
      <c r="B1" s="69"/>
      <c r="C1" s="28"/>
      <c r="D1" s="27" t="s">
        <v>51</v>
      </c>
      <c r="E1" s="27"/>
      <c r="F1" s="27"/>
      <c r="G1" s="27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31"/>
      <c r="T1" s="31"/>
      <c r="U1" s="31"/>
      <c r="V1" s="31"/>
      <c r="W1" s="31"/>
      <c r="X1" s="28"/>
      <c r="Y1" s="79"/>
      <c r="Z1" s="28"/>
      <c r="AA1" s="28"/>
      <c r="AB1" s="79"/>
      <c r="AC1" s="28"/>
      <c r="AD1" s="28"/>
      <c r="AE1" s="28"/>
      <c r="AF1" s="28"/>
      <c r="AG1" s="28"/>
      <c r="AH1" s="28"/>
      <c r="AI1" s="31"/>
      <c r="AJ1" s="31"/>
      <c r="AK1" s="114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</row>
    <row r="2" spans="1:54" x14ac:dyDescent="0.2">
      <c r="A2" s="59" t="s">
        <v>63</v>
      </c>
      <c r="B2" s="60"/>
      <c r="C2" s="59"/>
      <c r="D2" s="46"/>
      <c r="E2" s="46"/>
      <c r="F2" s="46"/>
      <c r="G2" s="46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</row>
    <row r="3" spans="1:54" ht="49" x14ac:dyDescent="0.25">
      <c r="A3" s="59" t="s">
        <v>64</v>
      </c>
      <c r="B3" s="60" t="s">
        <v>65</v>
      </c>
      <c r="C3" s="59"/>
      <c r="D3" s="59"/>
      <c r="E3" s="46"/>
      <c r="F3" s="46"/>
      <c r="G3" s="66"/>
      <c r="H3" s="31"/>
      <c r="I3" s="34" t="s">
        <v>53</v>
      </c>
      <c r="J3" s="31"/>
      <c r="K3" s="68" t="s">
        <v>54</v>
      </c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</row>
    <row r="4" spans="1:54" x14ac:dyDescent="0.2">
      <c r="A4" s="59">
        <v>1</v>
      </c>
      <c r="B4" s="43">
        <v>4</v>
      </c>
      <c r="C4" s="59"/>
      <c r="D4" s="46"/>
      <c r="E4" s="46"/>
      <c r="F4" s="46"/>
      <c r="G4" s="66" t="s">
        <v>87</v>
      </c>
      <c r="H4" s="55">
        <f>AVERAGE(H20:H215)</f>
        <v>111.90306122448979</v>
      </c>
      <c r="I4" s="96">
        <f>AVERAGE(I20:I215)</f>
        <v>111.90306122448979</v>
      </c>
      <c r="J4" s="31" t="s">
        <v>66</v>
      </c>
      <c r="K4" s="96">
        <f>AVERAGE(K20:K215)</f>
        <v>458.64285714285717</v>
      </c>
      <c r="L4" s="31"/>
      <c r="M4" s="31"/>
      <c r="N4" s="31"/>
      <c r="O4" s="31"/>
      <c r="P4" s="26" t="s">
        <v>167</v>
      </c>
      <c r="Q4" s="26"/>
      <c r="R4" s="26"/>
      <c r="S4" s="26"/>
      <c r="T4" s="28"/>
      <c r="U4" s="28"/>
      <c r="V4" s="28"/>
      <c r="W4" s="129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</row>
    <row r="5" spans="1:54" x14ac:dyDescent="0.2">
      <c r="A5" s="59">
        <v>2</v>
      </c>
      <c r="B5" s="44">
        <v>4</v>
      </c>
      <c r="C5" s="59"/>
      <c r="D5" s="46"/>
      <c r="E5" s="46"/>
      <c r="F5" s="46"/>
      <c r="G5" s="66" t="s">
        <v>88</v>
      </c>
      <c r="H5" s="55">
        <f>AVERAGEIF(H20:H215,"&gt;0")</f>
        <v>160.09489051094891</v>
      </c>
      <c r="I5" s="97">
        <f>_xlfn.MINIFS(I20:I215,I20:I215,"&gt;0")</f>
        <v>23</v>
      </c>
      <c r="J5" s="31" t="s">
        <v>80</v>
      </c>
      <c r="K5" s="97">
        <f>MIN(K20:K215)</f>
        <v>0</v>
      </c>
      <c r="L5" s="31"/>
      <c r="M5" s="31"/>
      <c r="N5" s="31"/>
      <c r="O5" s="31"/>
      <c r="P5" s="30" t="s">
        <v>168</v>
      </c>
      <c r="Q5" s="30"/>
      <c r="R5" s="30"/>
      <c r="S5" s="30"/>
      <c r="T5" s="31"/>
      <c r="U5" s="121">
        <f>3</f>
        <v>3</v>
      </c>
      <c r="V5" s="31"/>
      <c r="W5" s="32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</row>
    <row r="6" spans="1:54" x14ac:dyDescent="0.2">
      <c r="A6" s="59">
        <v>3</v>
      </c>
      <c r="B6" s="44">
        <v>4</v>
      </c>
      <c r="C6" s="59"/>
      <c r="D6" s="46"/>
      <c r="E6" s="46"/>
      <c r="F6" s="46"/>
      <c r="G6" s="66" t="s">
        <v>146</v>
      </c>
      <c r="H6" s="55">
        <f>AVERAGEIF(L20:L215,1,H20:H215)</f>
        <v>90.17647058823529</v>
      </c>
      <c r="I6" s="97">
        <f>MAX(I20:I215)</f>
        <v>211</v>
      </c>
      <c r="J6" s="31" t="s">
        <v>103</v>
      </c>
      <c r="K6" s="97">
        <f>MAX(K20:K215)</f>
        <v>1161</v>
      </c>
      <c r="L6" s="31"/>
      <c r="M6" s="31"/>
      <c r="N6" s="31"/>
      <c r="O6" s="31"/>
      <c r="P6" s="30"/>
      <c r="Q6" s="31"/>
      <c r="R6" s="31"/>
      <c r="S6" s="31"/>
      <c r="T6" s="31"/>
      <c r="U6" s="31"/>
      <c r="V6" s="31"/>
      <c r="W6" s="32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</row>
    <row r="7" spans="1:54" x14ac:dyDescent="0.2">
      <c r="A7" s="59">
        <v>4</v>
      </c>
      <c r="B7" s="44">
        <v>4</v>
      </c>
      <c r="C7" s="59"/>
      <c r="D7" s="46"/>
      <c r="E7" s="46"/>
      <c r="F7" s="46"/>
      <c r="G7" s="66" t="s">
        <v>89</v>
      </c>
      <c r="H7" s="55">
        <f>AVERAGEIFS(H20:H215,H20:H215,"&gt;0",L20:L215,0)</f>
        <v>170</v>
      </c>
      <c r="I7" s="97">
        <f>_xlfn.STDEV.P(I20:I215)</f>
        <v>58.736924648465525</v>
      </c>
      <c r="J7" s="31" t="s">
        <v>104</v>
      </c>
      <c r="K7" s="97">
        <f>_xlfn.STDEV.P(K20:K215)</f>
        <v>282.79430218259131</v>
      </c>
      <c r="L7" s="31"/>
      <c r="M7" s="31"/>
      <c r="N7" s="31"/>
      <c r="O7" s="31"/>
      <c r="P7" s="30" t="s">
        <v>171</v>
      </c>
      <c r="Q7" s="31"/>
      <c r="R7" s="31"/>
      <c r="S7" s="31"/>
      <c r="T7" s="31"/>
      <c r="U7" s="121">
        <f>4</f>
        <v>4</v>
      </c>
      <c r="V7" s="31"/>
      <c r="W7" s="32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</row>
    <row r="8" spans="1:54" x14ac:dyDescent="0.2">
      <c r="A8" s="59">
        <v>5</v>
      </c>
      <c r="B8" s="44">
        <v>5</v>
      </c>
      <c r="C8" s="59"/>
      <c r="D8" s="46"/>
      <c r="E8" s="46"/>
      <c r="F8" s="31"/>
      <c r="G8" s="31" t="s">
        <v>104</v>
      </c>
      <c r="H8" s="55">
        <f>_xlfn.STDEV.P(H20:H215)</f>
        <v>77.18488134988776</v>
      </c>
      <c r="I8" s="97">
        <f>I6-I5</f>
        <v>188</v>
      </c>
      <c r="J8" s="31" t="s">
        <v>106</v>
      </c>
      <c r="K8" s="97">
        <f>K6-K5</f>
        <v>1161</v>
      </c>
      <c r="L8" s="31"/>
      <c r="M8" s="31"/>
      <c r="N8" s="31"/>
      <c r="O8" s="31"/>
      <c r="P8" s="30"/>
      <c r="Q8" s="31"/>
      <c r="R8" s="31"/>
      <c r="S8" s="31"/>
      <c r="T8" s="31"/>
      <c r="U8" s="31"/>
      <c r="V8" s="31"/>
      <c r="W8" s="32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</row>
    <row r="9" spans="1:54" x14ac:dyDescent="0.2">
      <c r="A9" s="59">
        <v>6</v>
      </c>
      <c r="B9" s="44">
        <v>5</v>
      </c>
      <c r="C9" s="59"/>
      <c r="D9" s="46"/>
      <c r="E9" s="46"/>
      <c r="F9" s="46"/>
      <c r="G9" s="46"/>
      <c r="H9" s="31"/>
      <c r="I9" s="98">
        <f>I215</f>
        <v>0</v>
      </c>
      <c r="J9" s="31" t="s">
        <v>105</v>
      </c>
      <c r="K9" s="97">
        <f>K215</f>
        <v>0</v>
      </c>
      <c r="L9" s="31"/>
      <c r="M9" s="31"/>
      <c r="N9" s="31"/>
      <c r="O9" s="31"/>
      <c r="P9" s="30" t="s">
        <v>143</v>
      </c>
      <c r="Q9" s="31"/>
      <c r="R9" s="31" t="s">
        <v>116</v>
      </c>
      <c r="S9" s="31" t="s">
        <v>142</v>
      </c>
      <c r="T9" s="31"/>
      <c r="U9" s="31"/>
      <c r="V9" s="31"/>
      <c r="W9" s="32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</row>
    <row r="10" spans="1:54" x14ac:dyDescent="0.2">
      <c r="A10" s="59">
        <v>7</v>
      </c>
      <c r="B10" s="44">
        <v>5</v>
      </c>
      <c r="C10" s="59"/>
      <c r="D10" s="46"/>
      <c r="E10" s="31"/>
      <c r="F10" s="31"/>
      <c r="G10" s="46"/>
      <c r="H10" s="65" t="s">
        <v>139</v>
      </c>
      <c r="I10" s="55">
        <f>C149</f>
        <v>10</v>
      </c>
      <c r="J10" s="65" t="s">
        <v>86</v>
      </c>
      <c r="K10" s="98">
        <f>SUM(L21:L215)</f>
        <v>17</v>
      </c>
      <c r="L10" s="31"/>
      <c r="M10" s="31"/>
      <c r="N10" s="31"/>
      <c r="O10" s="31"/>
      <c r="P10" s="41" t="s">
        <v>144</v>
      </c>
      <c r="Q10" s="33"/>
      <c r="R10" s="103">
        <f>MAX(N20:N215)</f>
        <v>142</v>
      </c>
      <c r="S10" s="104">
        <f>C64</f>
        <v>4</v>
      </c>
      <c r="T10" s="33"/>
      <c r="U10" s="33"/>
      <c r="V10" s="33"/>
      <c r="W10" s="42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</row>
    <row r="11" spans="1:54" x14ac:dyDescent="0.2">
      <c r="A11" s="59">
        <v>8</v>
      </c>
      <c r="B11" s="62">
        <v>5</v>
      </c>
      <c r="C11" s="59"/>
      <c r="D11" s="46"/>
      <c r="E11" s="31"/>
      <c r="F11" s="31"/>
      <c r="G11" s="31"/>
      <c r="H11" s="65" t="s">
        <v>140</v>
      </c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</row>
    <row r="12" spans="1:54" x14ac:dyDescent="0.2">
      <c r="A12" s="59">
        <v>9</v>
      </c>
      <c r="B12" s="62">
        <v>5</v>
      </c>
      <c r="C12" s="59"/>
      <c r="D12" s="46"/>
      <c r="E12" s="74" t="b">
        <v>1</v>
      </c>
      <c r="F12" s="31"/>
      <c r="G12" s="31" t="s">
        <v>101</v>
      </c>
      <c r="H12" s="45">
        <v>170</v>
      </c>
      <c r="I12" s="74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</row>
    <row r="13" spans="1:54" x14ac:dyDescent="0.2">
      <c r="A13" s="59">
        <v>10</v>
      </c>
      <c r="B13" s="62">
        <v>5</v>
      </c>
      <c r="C13" s="59"/>
      <c r="D13" s="46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</row>
    <row r="14" spans="1:54" x14ac:dyDescent="0.2">
      <c r="A14" s="59">
        <v>11</v>
      </c>
      <c r="B14" s="62">
        <v>5</v>
      </c>
      <c r="C14" s="59"/>
      <c r="D14" s="46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77"/>
      <c r="Z14" s="31"/>
      <c r="AA14" s="31"/>
      <c r="AB14" s="77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</row>
    <row r="15" spans="1:54" x14ac:dyDescent="0.2">
      <c r="A15" s="59">
        <v>12</v>
      </c>
      <c r="B15" s="62">
        <v>6</v>
      </c>
      <c r="C15" s="59"/>
      <c r="D15" s="46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77"/>
      <c r="Z15" s="31"/>
      <c r="AA15" s="31"/>
      <c r="AB15" s="77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</row>
    <row r="16" spans="1:54" x14ac:dyDescent="0.2">
      <c r="A16" s="59">
        <v>13</v>
      </c>
      <c r="B16" s="62">
        <v>6</v>
      </c>
      <c r="C16" s="59"/>
      <c r="D16" s="46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77"/>
      <c r="Z16" s="31"/>
      <c r="AA16" s="31"/>
      <c r="AB16" s="77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</row>
    <row r="17" spans="1:54" x14ac:dyDescent="0.2">
      <c r="A17" s="59">
        <v>14</v>
      </c>
      <c r="B17" s="63">
        <v>6</v>
      </c>
      <c r="C17" s="59"/>
      <c r="D17" s="46"/>
      <c r="E17" s="31"/>
      <c r="F17" s="31"/>
      <c r="G17" s="31"/>
      <c r="H17" s="31"/>
      <c r="I17" s="31"/>
      <c r="J17" s="31"/>
      <c r="K17" s="78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77"/>
      <c r="Z17" s="31"/>
      <c r="AA17" s="31"/>
      <c r="AB17" s="77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</row>
    <row r="18" spans="1:54" x14ac:dyDescent="0.2">
      <c r="A18" s="59" t="s">
        <v>102</v>
      </c>
      <c r="B18" s="59">
        <f>SUM(Sawmill_schedule)</f>
        <v>69</v>
      </c>
      <c r="C18" s="59"/>
      <c r="D18" s="46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77"/>
      <c r="Z18" s="31"/>
      <c r="AA18" s="31"/>
      <c r="AB18" s="77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</row>
    <row r="19" spans="1:54" ht="71" x14ac:dyDescent="0.25">
      <c r="A19" s="33"/>
      <c r="B19" s="73" t="s">
        <v>91</v>
      </c>
      <c r="C19" s="34" t="s">
        <v>70</v>
      </c>
      <c r="D19" s="34" t="s">
        <v>71</v>
      </c>
      <c r="E19" s="49" t="s">
        <v>72</v>
      </c>
      <c r="F19" s="47" t="s">
        <v>55</v>
      </c>
      <c r="G19" s="47" t="s">
        <v>73</v>
      </c>
      <c r="H19" s="34" t="s">
        <v>52</v>
      </c>
      <c r="I19" s="34" t="s">
        <v>53</v>
      </c>
      <c r="J19" s="34" t="s">
        <v>56</v>
      </c>
      <c r="K19" s="34" t="s">
        <v>54</v>
      </c>
      <c r="L19" s="34" t="s">
        <v>57</v>
      </c>
      <c r="M19" s="48" t="s">
        <v>170</v>
      </c>
      <c r="N19" s="48" t="s">
        <v>141</v>
      </c>
      <c r="O19" s="48" t="s">
        <v>169</v>
      </c>
      <c r="P19" s="34" t="s">
        <v>107</v>
      </c>
      <c r="Q19" s="34" t="s">
        <v>52</v>
      </c>
      <c r="R19" s="34" t="s">
        <v>53</v>
      </c>
      <c r="S19" s="34" t="s">
        <v>56</v>
      </c>
      <c r="T19" s="34" t="s">
        <v>54</v>
      </c>
      <c r="U19" s="33" t="s">
        <v>57</v>
      </c>
      <c r="V19" s="33"/>
      <c r="W19" s="33"/>
      <c r="X19" s="33"/>
      <c r="Y19" s="33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</row>
    <row r="20" spans="1:54" x14ac:dyDescent="0.2">
      <c r="A20" s="31" t="s">
        <v>100</v>
      </c>
      <c r="B20" s="67">
        <v>1</v>
      </c>
      <c r="C20" s="50">
        <v>1</v>
      </c>
      <c r="D20" s="35">
        <v>1</v>
      </c>
      <c r="E20" s="35">
        <v>1</v>
      </c>
      <c r="F20" s="35">
        <f t="shared" ref="F20:F51" si="0">IF(OR(I20&lt;&gt;0,(AND(sat_working=TRUE,E20=6))),1,0)</f>
        <v>1</v>
      </c>
      <c r="G20" s="35" cm="1">
        <f t="array" ref="G20">IF(E20&lt;=INDEX($B$4:$B$17,C20),1,0)</f>
        <v>1</v>
      </c>
      <c r="H20" s="35">
        <v>0</v>
      </c>
      <c r="I20" s="36">
        <f>IF(AND(sat_working=TRUE,E20=6),ROUNDDOWN(AVERAGE('Data for 2021'!I19:I23),0),'Data for 2021'!I19)</f>
        <v>47</v>
      </c>
      <c r="J20" s="55">
        <v>0</v>
      </c>
      <c r="K20" s="55">
        <f t="shared" ref="K20:K51" si="1">J20+I20-H20</f>
        <v>47</v>
      </c>
      <c r="L20" s="55"/>
      <c r="M20" s="53"/>
      <c r="N20" s="53"/>
      <c r="O20" s="53"/>
      <c r="P20" s="50">
        <v>1</v>
      </c>
      <c r="Q20" s="88">
        <f>AVERAGEIF(H20:H33,"&gt;0")</f>
        <v>73.428571428571431</v>
      </c>
      <c r="R20" s="88">
        <f>AVERAGEIF(I20:I33,"&gt;0")</f>
        <v>59.583333333333336</v>
      </c>
      <c r="S20" s="88">
        <f>AVERAGEIF(J20:J33,"&gt;0")</f>
        <v>97.07692307692308</v>
      </c>
      <c r="T20" s="88">
        <f>AVERAGEIF(K20:K33,"&gt;0")</f>
        <v>104.5</v>
      </c>
      <c r="U20" s="88">
        <f>AVERAGEIF(L20:L33,"&gt;0")</f>
        <v>1</v>
      </c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</row>
    <row r="21" spans="1:54" x14ac:dyDescent="0.2">
      <c r="A21" s="31"/>
      <c r="B21" s="70">
        <v>2</v>
      </c>
      <c r="C21" s="51">
        <v>1</v>
      </c>
      <c r="D21" s="37">
        <v>2</v>
      </c>
      <c r="E21" s="37">
        <v>2</v>
      </c>
      <c r="F21" s="55">
        <f t="shared" si="0"/>
        <v>1</v>
      </c>
      <c r="G21" s="37" cm="1">
        <f t="array" ref="G21">IF(E21&lt;=INDEX($B$4:$B$17,C21),1,0)</f>
        <v>1</v>
      </c>
      <c r="H21" s="37">
        <f>IF(G21=1,MIN(J21,$H$12),0)</f>
        <v>47</v>
      </c>
      <c r="I21" s="38">
        <f>IF(AND(sat_working=TRUE,E21=6),ROUNDDOWN(AVERAGE('Data for 2021'!I20:I24),0),'Data for 2021'!I20)</f>
        <v>64</v>
      </c>
      <c r="J21" s="55">
        <f>K20</f>
        <v>47</v>
      </c>
      <c r="K21" s="55">
        <f t="shared" si="1"/>
        <v>64</v>
      </c>
      <c r="L21" s="55">
        <f t="shared" ref="L21:L52" si="2">IF(AND(H21=J21,G21),1,0)</f>
        <v>1</v>
      </c>
      <c r="M21" s="55">
        <f>IF(OR(G20=0,L20=1),"",H20)</f>
        <v>0</v>
      </c>
      <c r="N21" s="55">
        <f>IF(AND(G21=1,L21=1),H21,"")</f>
        <v>47</v>
      </c>
      <c r="O21" s="55">
        <f>IF(AND(K21&gt;K20,F21=1),1,0)</f>
        <v>1</v>
      </c>
      <c r="P21" s="51">
        <v>2</v>
      </c>
      <c r="Q21" s="80">
        <f>AVERAGEIF(H34:H47,"&gt;0")</f>
        <v>129.5</v>
      </c>
      <c r="R21" s="80">
        <f>AVERAGEIF(I34:I47,"&gt;0")</f>
        <v>94</v>
      </c>
      <c r="S21" s="80">
        <f>AVERAGEIF(J34:J47,"&gt;0")</f>
        <v>171.64285714285714</v>
      </c>
      <c r="T21" s="80">
        <f>AVERAGEIF(K34:K47,"&gt;0")</f>
        <v>178.21428571428572</v>
      </c>
      <c r="U21" s="80">
        <f>AVERAGEIF(L34:L47,"&gt;0")</f>
        <v>1</v>
      </c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</row>
    <row r="22" spans="1:54" x14ac:dyDescent="0.2">
      <c r="A22" s="31"/>
      <c r="B22" s="67">
        <v>3</v>
      </c>
      <c r="C22" s="51">
        <v>1</v>
      </c>
      <c r="D22" s="37">
        <v>3</v>
      </c>
      <c r="E22" s="37">
        <v>3</v>
      </c>
      <c r="F22" s="55">
        <f t="shared" si="0"/>
        <v>1</v>
      </c>
      <c r="G22" s="37" cm="1">
        <f t="array" ref="G22">IF(E22&lt;=INDEX($B$4:$B$17,C22),1,0)</f>
        <v>1</v>
      </c>
      <c r="H22" s="37">
        <f t="shared" ref="H22:H85" si="3">IF(G22=1,MIN(J22,$H$12),0)</f>
        <v>64</v>
      </c>
      <c r="I22" s="38">
        <f>IF(AND(sat_working=TRUE,E22=6),ROUNDDOWN(AVERAGE('Data for 2021'!I21:I25),0),'Data for 2021'!I21)</f>
        <v>49</v>
      </c>
      <c r="J22" s="55">
        <f t="shared" ref="J22:J85" si="4">K21</f>
        <v>64</v>
      </c>
      <c r="K22" s="55">
        <f t="shared" si="1"/>
        <v>49</v>
      </c>
      <c r="L22" s="55">
        <f t="shared" si="2"/>
        <v>1</v>
      </c>
      <c r="M22" s="55" t="str">
        <f t="shared" ref="M22:M85" si="5">IF(OR(G21=0,L21=1),"",H21)</f>
        <v/>
      </c>
      <c r="N22" s="55">
        <f t="shared" ref="N22:N85" si="6">IF(AND(G22=1,L22=1),H22,"")</f>
        <v>64</v>
      </c>
      <c r="O22" s="55">
        <f t="shared" ref="O22:O85" si="7">IF(AND(K22&gt;K21,F22=1),1,0)</f>
        <v>0</v>
      </c>
      <c r="P22" s="51">
        <v>3</v>
      </c>
      <c r="Q22" s="80">
        <f>AVERAGEIF(H48:H61,"&gt;0")</f>
        <v>146</v>
      </c>
      <c r="R22" s="80">
        <f>AVERAGEIF(I48:I61,"&gt;0")</f>
        <v>98.166666666666671</v>
      </c>
      <c r="S22" s="80">
        <f>AVERAGEIF(J48:J61,"&gt;0")</f>
        <v>195.64285714285714</v>
      </c>
      <c r="T22" s="80">
        <f>AVERAGEIF(K48:K61,"&gt;0")</f>
        <v>196.35714285714286</v>
      </c>
      <c r="U22" s="80">
        <f>AVERAGEIF(L48:L61,"&gt;0")</f>
        <v>1</v>
      </c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</row>
    <row r="23" spans="1:54" x14ac:dyDescent="0.2">
      <c r="A23" s="31"/>
      <c r="B23" s="70">
        <v>4</v>
      </c>
      <c r="C23" s="51">
        <v>1</v>
      </c>
      <c r="D23" s="37">
        <v>4</v>
      </c>
      <c r="E23" s="37">
        <v>4</v>
      </c>
      <c r="F23" s="55">
        <f t="shared" si="0"/>
        <v>1</v>
      </c>
      <c r="G23" s="37" cm="1">
        <f t="array" ref="G23">IF(E23&lt;=INDEX($B$4:$B$17,C23),1,0)</f>
        <v>1</v>
      </c>
      <c r="H23" s="37">
        <f t="shared" si="3"/>
        <v>49</v>
      </c>
      <c r="I23" s="38">
        <f>IF(AND(sat_working=TRUE,E23=6),ROUNDDOWN(AVERAGE('Data for 2021'!I22:I26),0),'Data for 2021'!I22)</f>
        <v>37</v>
      </c>
      <c r="J23" s="55">
        <f t="shared" si="4"/>
        <v>49</v>
      </c>
      <c r="K23" s="55">
        <f t="shared" si="1"/>
        <v>37</v>
      </c>
      <c r="L23" s="55">
        <f t="shared" si="2"/>
        <v>1</v>
      </c>
      <c r="M23" s="55" t="str">
        <f t="shared" si="5"/>
        <v/>
      </c>
      <c r="N23" s="55">
        <f t="shared" si="6"/>
        <v>49</v>
      </c>
      <c r="O23" s="55">
        <f t="shared" si="7"/>
        <v>0</v>
      </c>
      <c r="P23" s="51">
        <v>4</v>
      </c>
      <c r="Q23" s="80">
        <f>AVERAGEIF(H62:H75,"&gt;0")</f>
        <v>160</v>
      </c>
      <c r="R23" s="80">
        <f>AVERAGEIF(I62:I75,"&gt;0")</f>
        <v>115</v>
      </c>
      <c r="S23" s="80">
        <f>AVERAGEIF(J62:J75,"&gt;0")</f>
        <v>259.78571428571428</v>
      </c>
      <c r="T23" s="80">
        <f>AVERAGEIF(K62:K75,"&gt;0")</f>
        <v>266.92857142857144</v>
      </c>
      <c r="U23" s="80">
        <f>AVERAGEIF(L62:L75,"&gt;0")</f>
        <v>1</v>
      </c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</row>
    <row r="24" spans="1:54" x14ac:dyDescent="0.2">
      <c r="A24" s="31"/>
      <c r="B24" s="67">
        <v>5</v>
      </c>
      <c r="C24" s="51">
        <v>1</v>
      </c>
      <c r="D24" s="37">
        <v>5</v>
      </c>
      <c r="E24" s="37">
        <v>5</v>
      </c>
      <c r="F24" s="55">
        <f t="shared" si="0"/>
        <v>1</v>
      </c>
      <c r="G24" s="37" cm="1">
        <f t="array" ref="G24">IF(E24&lt;=INDEX($B$4:$B$17,C24),1,0)</f>
        <v>0</v>
      </c>
      <c r="H24" s="37">
        <f t="shared" si="3"/>
        <v>0</v>
      </c>
      <c r="I24" s="38">
        <f>IF(AND(sat_working=TRUE,E24=6),ROUNDDOWN(AVERAGE('Data for 2021'!I23:I27),0),'Data for 2021'!I23)</f>
        <v>81</v>
      </c>
      <c r="J24" s="55">
        <f t="shared" si="4"/>
        <v>37</v>
      </c>
      <c r="K24" s="55">
        <f t="shared" si="1"/>
        <v>118</v>
      </c>
      <c r="L24" s="55">
        <f t="shared" si="2"/>
        <v>0</v>
      </c>
      <c r="M24" s="55" t="str">
        <f t="shared" si="5"/>
        <v/>
      </c>
      <c r="N24" s="55" t="str">
        <f t="shared" si="6"/>
        <v/>
      </c>
      <c r="O24" s="55">
        <f t="shared" si="7"/>
        <v>1</v>
      </c>
      <c r="P24" s="51">
        <v>5</v>
      </c>
      <c r="Q24" s="80">
        <f>AVERAGEIF(H76:H89,"&gt;0")</f>
        <v>170</v>
      </c>
      <c r="R24" s="80">
        <f>AVERAGEIF(I76:I89,"&gt;0")</f>
        <v>139.41666666666666</v>
      </c>
      <c r="S24" s="80">
        <f>AVERAGEIF(J76:J89,"&gt;0")</f>
        <v>269.07142857142856</v>
      </c>
      <c r="T24" s="80">
        <f>AVERAGEIF(K76:K89,"&gt;0")</f>
        <v>267.14285714285717</v>
      </c>
      <c r="U24" s="80" t="e">
        <f>AVERAGEIF(L76:L89,"&gt;0")</f>
        <v>#DIV/0!</v>
      </c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</row>
    <row r="25" spans="1:54" x14ac:dyDescent="0.2">
      <c r="A25" s="31"/>
      <c r="B25" s="70">
        <v>6</v>
      </c>
      <c r="C25" s="51">
        <v>1</v>
      </c>
      <c r="D25" s="37">
        <v>6</v>
      </c>
      <c r="E25" s="37">
        <v>6</v>
      </c>
      <c r="F25" s="55">
        <f t="shared" si="0"/>
        <v>1</v>
      </c>
      <c r="G25" s="37" cm="1">
        <f t="array" ref="G25">IF(E25&lt;=INDEX($B$4:$B$17,C25),1,0)</f>
        <v>0</v>
      </c>
      <c r="H25" s="37">
        <f t="shared" si="3"/>
        <v>0</v>
      </c>
      <c r="I25" s="38">
        <f>IF(AND(sat_working=TRUE,E25=6),ROUNDDOWN(AVERAGE('Data for 2021'!I26:I30,'Data for 2021'!I19:I23),0),'Data for 2021'!I24)</f>
        <v>59</v>
      </c>
      <c r="J25" s="55">
        <f t="shared" si="4"/>
        <v>118</v>
      </c>
      <c r="K25" s="55">
        <f t="shared" si="1"/>
        <v>177</v>
      </c>
      <c r="L25" s="55">
        <f t="shared" si="2"/>
        <v>0</v>
      </c>
      <c r="M25" s="55" t="str">
        <f t="shared" si="5"/>
        <v/>
      </c>
      <c r="N25" s="55" t="str">
        <f t="shared" si="6"/>
        <v/>
      </c>
      <c r="O25" s="55">
        <f t="shared" si="7"/>
        <v>1</v>
      </c>
      <c r="P25" s="51">
        <v>6</v>
      </c>
      <c r="Q25" s="80">
        <f>AVERAGEIF(H90:H103,"&gt;0")</f>
        <v>170</v>
      </c>
      <c r="R25" s="80">
        <f>AVERAGEIF(I90:I103,"&gt;0")</f>
        <v>147.33333333333334</v>
      </c>
      <c r="S25" s="80">
        <f>AVERAGEIF(J90:J103,"&gt;0")</f>
        <v>362.35714285714283</v>
      </c>
      <c r="T25" s="80">
        <f>AVERAGEIF(K90:K103,"&gt;0")</f>
        <v>367.21428571428572</v>
      </c>
      <c r="U25" s="93">
        <f>AVERAGE(L90:L103)</f>
        <v>0</v>
      </c>
      <c r="V25" s="64"/>
      <c r="W25" s="64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</row>
    <row r="26" spans="1:54" x14ac:dyDescent="0.2">
      <c r="A26" s="31"/>
      <c r="B26" s="67">
        <v>7</v>
      </c>
      <c r="C26" s="51">
        <v>1</v>
      </c>
      <c r="D26" s="37">
        <v>7</v>
      </c>
      <c r="E26" s="37">
        <v>7</v>
      </c>
      <c r="F26" s="37">
        <f t="shared" si="0"/>
        <v>0</v>
      </c>
      <c r="G26" s="37" cm="1">
        <f t="array" ref="G26">IF(E26&lt;=INDEX($B$4:$B$17,C26),1,0)</f>
        <v>0</v>
      </c>
      <c r="H26" s="37">
        <f t="shared" si="3"/>
        <v>0</v>
      </c>
      <c r="I26" s="38">
        <f>IF(AND(sat_working=TRUE,E26=6),ROUNDDOWN(AVERAGE('Data for 2021'!I20:I24),0),'Data for 2021'!I25)</f>
        <v>0</v>
      </c>
      <c r="J26" s="55">
        <f t="shared" si="4"/>
        <v>177</v>
      </c>
      <c r="K26" s="55">
        <f t="shared" si="1"/>
        <v>177</v>
      </c>
      <c r="L26" s="55">
        <f t="shared" si="2"/>
        <v>0</v>
      </c>
      <c r="M26" s="55" t="str">
        <f t="shared" si="5"/>
        <v/>
      </c>
      <c r="N26" s="55" t="str">
        <f t="shared" si="6"/>
        <v/>
      </c>
      <c r="O26" s="55">
        <f t="shared" si="7"/>
        <v>0</v>
      </c>
      <c r="P26" s="51">
        <v>7</v>
      </c>
      <c r="Q26" s="80">
        <f>AVERAGEIF(H104:H117,"&gt;0")</f>
        <v>170</v>
      </c>
      <c r="R26" s="80">
        <f>AVERAGEIF(I104:I117,"&gt;0")</f>
        <v>143.25</v>
      </c>
      <c r="S26" s="80">
        <f>AVERAGEIF(J104:J117,"&gt;0")</f>
        <v>380.21428571428572</v>
      </c>
      <c r="T26" s="80">
        <f>AVERAGEIF(K104:K117,"&gt;0")</f>
        <v>381.57142857142856</v>
      </c>
      <c r="U26" s="93">
        <f>AVERAGE(L104:L117)</f>
        <v>0</v>
      </c>
      <c r="V26" s="64"/>
      <c r="W26" s="64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</row>
    <row r="27" spans="1:54" x14ac:dyDescent="0.2">
      <c r="A27" s="31"/>
      <c r="B27" s="70">
        <v>8</v>
      </c>
      <c r="C27" s="51">
        <v>1</v>
      </c>
      <c r="D27" s="37">
        <v>8</v>
      </c>
      <c r="E27" s="35">
        <v>1</v>
      </c>
      <c r="F27" s="35">
        <f t="shared" si="0"/>
        <v>1</v>
      </c>
      <c r="G27" s="37" cm="1">
        <f t="array" ref="G27">IF(E27&lt;=INDEX($B$4:$B$17,C27),1,0)</f>
        <v>1</v>
      </c>
      <c r="H27" s="37">
        <f t="shared" si="3"/>
        <v>170</v>
      </c>
      <c r="I27" s="38">
        <f>IF(AND(sat_working=TRUE,E27=6),ROUNDDOWN(AVERAGE('Data for 2021'!I21:I25),0),'Data for 2021'!I26)</f>
        <v>78</v>
      </c>
      <c r="J27" s="55">
        <f t="shared" si="4"/>
        <v>177</v>
      </c>
      <c r="K27" s="55">
        <f t="shared" si="1"/>
        <v>85</v>
      </c>
      <c r="L27" s="55">
        <f t="shared" si="2"/>
        <v>0</v>
      </c>
      <c r="M27" s="55" t="str">
        <f t="shared" si="5"/>
        <v/>
      </c>
      <c r="N27" s="55" t="str">
        <f t="shared" si="6"/>
        <v/>
      </c>
      <c r="O27" s="55">
        <f t="shared" si="7"/>
        <v>0</v>
      </c>
      <c r="P27" s="51">
        <v>8</v>
      </c>
      <c r="Q27" s="80">
        <f>AVERAGEIF(H118:H131,"&gt;0")</f>
        <v>170</v>
      </c>
      <c r="R27" s="80">
        <f>AVERAGEIF(I118:I131,"&gt;0")</f>
        <v>149.75</v>
      </c>
      <c r="S27" s="80">
        <f>AVERAGEIF(J118:J131,"&gt;0")</f>
        <v>482.35714285714283</v>
      </c>
      <c r="T27" s="80">
        <f>AVERAGEIF(K118:K131,"&gt;0")</f>
        <v>489.28571428571428</v>
      </c>
      <c r="U27" s="93">
        <f>AVERAGE(L118:L131)</f>
        <v>0</v>
      </c>
      <c r="V27" s="64"/>
      <c r="W27" s="64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</row>
    <row r="28" spans="1:54" x14ac:dyDescent="0.2">
      <c r="A28" s="31"/>
      <c r="B28" s="67">
        <v>9</v>
      </c>
      <c r="C28" s="51">
        <v>1</v>
      </c>
      <c r="D28" s="37">
        <v>9</v>
      </c>
      <c r="E28" s="37">
        <v>2</v>
      </c>
      <c r="F28" s="37">
        <f t="shared" si="0"/>
        <v>1</v>
      </c>
      <c r="G28" s="37" cm="1">
        <f t="array" ref="G28">IF(E28&lt;=INDEX($B$4:$B$17,C28),1,0)</f>
        <v>1</v>
      </c>
      <c r="H28" s="37">
        <f t="shared" si="3"/>
        <v>85</v>
      </c>
      <c r="I28" s="38">
        <f>IF(AND(sat_working=TRUE,E28=6),ROUNDDOWN(AVERAGE('Data for 2021'!I22:I26),0),'Data for 2021'!I27)</f>
        <v>38</v>
      </c>
      <c r="J28" s="55">
        <f t="shared" si="4"/>
        <v>85</v>
      </c>
      <c r="K28" s="55">
        <f t="shared" si="1"/>
        <v>38</v>
      </c>
      <c r="L28" s="55">
        <f t="shared" si="2"/>
        <v>1</v>
      </c>
      <c r="M28" s="55">
        <f t="shared" si="5"/>
        <v>170</v>
      </c>
      <c r="N28" s="55">
        <f t="shared" si="6"/>
        <v>85</v>
      </c>
      <c r="O28" s="55">
        <f t="shared" si="7"/>
        <v>0</v>
      </c>
      <c r="P28" s="51">
        <v>9</v>
      </c>
      <c r="Q28" s="80">
        <f>AVERAGEIF(H132:H145,"&gt;0")</f>
        <v>170</v>
      </c>
      <c r="R28" s="80">
        <f>AVERAGEIF(I132:I145,"&gt;0")</f>
        <v>157.66666666666666</v>
      </c>
      <c r="S28" s="80">
        <f>AVERAGEIF(J132:J145,"&gt;0")</f>
        <v>592.21428571428567</v>
      </c>
      <c r="T28" s="80">
        <f>AVERAGEIF(K132:K145,"&gt;0")</f>
        <v>605.92857142857144</v>
      </c>
      <c r="U28" s="93">
        <f>AVERAGE(L132:L145)</f>
        <v>0</v>
      </c>
      <c r="V28" s="59"/>
      <c r="W28" s="59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</row>
    <row r="29" spans="1:54" x14ac:dyDescent="0.2">
      <c r="A29" s="31"/>
      <c r="B29" s="70">
        <v>10</v>
      </c>
      <c r="C29" s="51">
        <v>1</v>
      </c>
      <c r="D29" s="37">
        <v>10</v>
      </c>
      <c r="E29" s="37">
        <v>3</v>
      </c>
      <c r="F29" s="37">
        <f t="shared" si="0"/>
        <v>1</v>
      </c>
      <c r="G29" s="37" cm="1">
        <f t="array" ref="G29">IF(E29&lt;=INDEX($B$4:$B$17,C29),1,0)</f>
        <v>1</v>
      </c>
      <c r="H29" s="37">
        <f t="shared" si="3"/>
        <v>38</v>
      </c>
      <c r="I29" s="38">
        <f>IF(AND(sat_working=TRUE,E29=6),ROUNDDOWN(AVERAGE('Data for 2021'!I23:I27),0),'Data for 2021'!I28)</f>
        <v>61</v>
      </c>
      <c r="J29" s="55">
        <f t="shared" si="4"/>
        <v>38</v>
      </c>
      <c r="K29" s="55">
        <f t="shared" si="1"/>
        <v>61</v>
      </c>
      <c r="L29" s="55">
        <f t="shared" si="2"/>
        <v>1</v>
      </c>
      <c r="M29" s="55" t="str">
        <f t="shared" si="5"/>
        <v/>
      </c>
      <c r="N29" s="55">
        <f t="shared" si="6"/>
        <v>38</v>
      </c>
      <c r="O29" s="55">
        <f t="shared" si="7"/>
        <v>1</v>
      </c>
      <c r="P29" s="51">
        <v>10</v>
      </c>
      <c r="Q29" s="80">
        <f>AVERAGEIF(H146:H159,"&gt;0")</f>
        <v>170</v>
      </c>
      <c r="R29" s="80">
        <f>AVERAGEIF(I146:I159,"&gt;0")</f>
        <v>146.41666666666666</v>
      </c>
      <c r="S29" s="80">
        <f>AVERAGEIF(J146:J159,"&gt;0")</f>
        <v>697.14285714285711</v>
      </c>
      <c r="T29" s="80">
        <f>AVERAGEIF(K146:K159,"&gt;0")</f>
        <v>701.21428571428567</v>
      </c>
      <c r="U29" s="93">
        <f>AVERAGE(L146:L159)</f>
        <v>0</v>
      </c>
      <c r="V29" s="59"/>
      <c r="W29" s="59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</row>
    <row r="30" spans="1:54" x14ac:dyDescent="0.2">
      <c r="A30" s="31"/>
      <c r="B30" s="67">
        <v>11</v>
      </c>
      <c r="C30" s="51">
        <v>1</v>
      </c>
      <c r="D30" s="37">
        <v>11</v>
      </c>
      <c r="E30" s="37">
        <v>4</v>
      </c>
      <c r="F30" s="37">
        <f t="shared" si="0"/>
        <v>1</v>
      </c>
      <c r="G30" s="37" cm="1">
        <f t="array" ref="G30">IF(E30&lt;=INDEX($B$4:$B$17,C30),1,0)</f>
        <v>1</v>
      </c>
      <c r="H30" s="37">
        <f t="shared" si="3"/>
        <v>61</v>
      </c>
      <c r="I30" s="38">
        <f>IF(AND(sat_working=TRUE,E30=6),ROUNDDOWN(AVERAGE('Data for 2021'!I24:I28),0),'Data for 2021'!I29)</f>
        <v>66</v>
      </c>
      <c r="J30" s="55">
        <f t="shared" si="4"/>
        <v>61</v>
      </c>
      <c r="K30" s="55">
        <f t="shared" si="1"/>
        <v>66</v>
      </c>
      <c r="L30" s="55">
        <f t="shared" si="2"/>
        <v>1</v>
      </c>
      <c r="M30" s="55" t="str">
        <f t="shared" si="5"/>
        <v/>
      </c>
      <c r="N30" s="55">
        <f t="shared" si="6"/>
        <v>61</v>
      </c>
      <c r="O30" s="55">
        <f t="shared" si="7"/>
        <v>1</v>
      </c>
      <c r="P30" s="51">
        <v>11</v>
      </c>
      <c r="Q30" s="80">
        <f>AVERAGEIF(H160:H173,"&gt;0")</f>
        <v>170</v>
      </c>
      <c r="R30" s="80">
        <f>AVERAGEIF(I160:I173,"&gt;0")</f>
        <v>171</v>
      </c>
      <c r="S30" s="80">
        <f>AVERAGEIF(J160:J173,"&gt;0")</f>
        <v>930.07142857142856</v>
      </c>
      <c r="T30" s="80">
        <f>AVERAGEIF(K160:K173,"&gt;0")</f>
        <v>955.21428571428567</v>
      </c>
      <c r="U30" s="93">
        <f>AVERAGE(L160:L173)</f>
        <v>0</v>
      </c>
      <c r="V30" s="59"/>
      <c r="W30" s="59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</row>
    <row r="31" spans="1:54" x14ac:dyDescent="0.2">
      <c r="A31" s="31"/>
      <c r="B31" s="70">
        <v>12</v>
      </c>
      <c r="C31" s="51">
        <v>1</v>
      </c>
      <c r="D31" s="37">
        <v>12</v>
      </c>
      <c r="E31" s="37">
        <v>5</v>
      </c>
      <c r="F31" s="37">
        <f t="shared" si="0"/>
        <v>1</v>
      </c>
      <c r="G31" s="37" cm="1">
        <f t="array" ref="G31">IF(E31&lt;=INDEX($B$4:$B$17,C31),1,0)</f>
        <v>0</v>
      </c>
      <c r="H31" s="37">
        <f t="shared" si="3"/>
        <v>0</v>
      </c>
      <c r="I31" s="38">
        <f>IF(AND(sat_working=TRUE,E31=6),ROUNDDOWN(AVERAGE('Data for 2021'!I25:I29),0),'Data for 2021'!I30)</f>
        <v>76</v>
      </c>
      <c r="J31" s="55">
        <f t="shared" si="4"/>
        <v>66</v>
      </c>
      <c r="K31" s="55">
        <f t="shared" si="1"/>
        <v>142</v>
      </c>
      <c r="L31" s="55">
        <f t="shared" si="2"/>
        <v>0</v>
      </c>
      <c r="M31" s="55" t="str">
        <f t="shared" si="5"/>
        <v/>
      </c>
      <c r="N31" s="55" t="str">
        <f t="shared" si="6"/>
        <v/>
      </c>
      <c r="O31" s="55">
        <f t="shared" si="7"/>
        <v>1</v>
      </c>
      <c r="P31" s="51">
        <v>12</v>
      </c>
      <c r="Q31" s="80">
        <f>AVERAGEIF(H174:H187,"&gt;0")</f>
        <v>170</v>
      </c>
      <c r="R31" s="80">
        <f>AVERAGEIF(I174:I187,"&gt;0")</f>
        <v>138.58333333333334</v>
      </c>
      <c r="S31" s="80">
        <f>AVERAGEIF(J174:J187,"&gt;0")</f>
        <v>992.71428571428567</v>
      </c>
      <c r="T31" s="80">
        <f>AVERAGEIF(K174:K187,"&gt;0")</f>
        <v>965.78571428571433</v>
      </c>
      <c r="U31" s="93">
        <f>AVERAGE(L174:L187)</f>
        <v>0</v>
      </c>
      <c r="V31" s="59"/>
      <c r="W31" s="59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</row>
    <row r="32" spans="1:54" x14ac:dyDescent="0.2">
      <c r="A32" s="31"/>
      <c r="B32" s="67">
        <v>13</v>
      </c>
      <c r="C32" s="51">
        <v>1</v>
      </c>
      <c r="D32" s="37">
        <v>13</v>
      </c>
      <c r="E32" s="37">
        <v>6</v>
      </c>
      <c r="F32" s="37">
        <f t="shared" si="0"/>
        <v>1</v>
      </c>
      <c r="G32" s="37" cm="1">
        <f t="array" ref="G32">IF(E32&lt;=INDEX($B$4:$B$17,C32),1,0)</f>
        <v>0</v>
      </c>
      <c r="H32" s="37">
        <f t="shared" si="3"/>
        <v>0</v>
      </c>
      <c r="I32" s="38">
        <f>I25</f>
        <v>59</v>
      </c>
      <c r="J32" s="55">
        <f t="shared" si="4"/>
        <v>142</v>
      </c>
      <c r="K32" s="55">
        <f t="shared" si="1"/>
        <v>201</v>
      </c>
      <c r="L32" s="55">
        <f t="shared" si="2"/>
        <v>0</v>
      </c>
      <c r="M32" s="55" t="str">
        <f t="shared" si="5"/>
        <v/>
      </c>
      <c r="N32" s="55" t="str">
        <f t="shared" si="6"/>
        <v/>
      </c>
      <c r="O32" s="55">
        <f t="shared" si="7"/>
        <v>1</v>
      </c>
      <c r="P32" s="51">
        <v>13</v>
      </c>
      <c r="Q32" s="80">
        <f>AVERAGEIF(H188:H201,"&gt;0")</f>
        <v>170</v>
      </c>
      <c r="R32" s="80">
        <f>AVERAGEIF(I188:I201,"&gt;0")</f>
        <v>148.33333333333334</v>
      </c>
      <c r="S32" s="80">
        <f>AVERAGEIF(J188:J201,"&gt;0")</f>
        <v>669.35714285714289</v>
      </c>
      <c r="T32" s="80">
        <f>AVERAGEIF(K188:K201,"&gt;0")</f>
        <v>650.78571428571433</v>
      </c>
      <c r="U32" s="93">
        <f>AVERAGE(L188:L201)</f>
        <v>0</v>
      </c>
      <c r="V32" s="59"/>
      <c r="W32" s="59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</row>
    <row r="33" spans="1:54" x14ac:dyDescent="0.2">
      <c r="A33" s="31"/>
      <c r="B33" s="70">
        <v>14</v>
      </c>
      <c r="C33" s="52">
        <v>1</v>
      </c>
      <c r="D33" s="39">
        <v>14</v>
      </c>
      <c r="E33" s="37">
        <v>7</v>
      </c>
      <c r="F33" s="37">
        <f t="shared" si="0"/>
        <v>0</v>
      </c>
      <c r="G33" s="37" cm="1">
        <f t="array" ref="G33">IF(E33&lt;=INDEX($B$4:$B$17,C33),1,0)</f>
        <v>0</v>
      </c>
      <c r="H33" s="37">
        <f t="shared" si="3"/>
        <v>0</v>
      </c>
      <c r="I33" s="38">
        <f>IF(AND(sat_working=TRUE,E33=6),ROUNDDOWN(AVERAGE('Data for 2021'!I27:I31),0),'Data for 2021'!I32)</f>
        <v>0</v>
      </c>
      <c r="J33" s="55">
        <f t="shared" si="4"/>
        <v>201</v>
      </c>
      <c r="K33" s="55">
        <f t="shared" si="1"/>
        <v>201</v>
      </c>
      <c r="L33" s="55">
        <f t="shared" si="2"/>
        <v>0</v>
      </c>
      <c r="M33" s="55" t="str">
        <f t="shared" si="5"/>
        <v/>
      </c>
      <c r="N33" s="55" t="str">
        <f t="shared" si="6"/>
        <v/>
      </c>
      <c r="O33" s="55">
        <f t="shared" si="7"/>
        <v>0</v>
      </c>
      <c r="P33" s="52">
        <v>14</v>
      </c>
      <c r="Q33" s="91">
        <f>AVERAGEIF(H202:H215,"&gt;0")</f>
        <v>162.91666666666666</v>
      </c>
      <c r="R33" s="91">
        <f>AVERAGEIF(I202:I215,"&gt;0")</f>
        <v>143.1</v>
      </c>
      <c r="S33" s="91">
        <f>AVERAGEIF(J202:J215,"&gt;0")</f>
        <v>353.53846153846155</v>
      </c>
      <c r="T33" s="91">
        <f>AVERAGEIF(K202:K215,"&gt;0")</f>
        <v>339.33333333333331</v>
      </c>
      <c r="U33" s="94">
        <f>AVERAGE(L202:L215)</f>
        <v>7.1428571428571425E-2</v>
      </c>
      <c r="V33" s="59"/>
      <c r="W33" s="59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</row>
    <row r="34" spans="1:54" x14ac:dyDescent="0.2">
      <c r="A34" s="31" t="s">
        <v>99</v>
      </c>
      <c r="B34" s="67">
        <v>15</v>
      </c>
      <c r="C34" s="50">
        <v>2</v>
      </c>
      <c r="D34" s="53">
        <v>1</v>
      </c>
      <c r="E34" s="35">
        <v>1</v>
      </c>
      <c r="F34" s="35">
        <f t="shared" si="0"/>
        <v>1</v>
      </c>
      <c r="G34" s="35" cm="1">
        <f t="array" ref="G34">IF(E34&lt;=INDEX($B$4:$B$17,C34),1,0)</f>
        <v>1</v>
      </c>
      <c r="H34" s="37">
        <f t="shared" si="3"/>
        <v>170</v>
      </c>
      <c r="I34" s="38">
        <f>IF(AND(sat_working=TRUE,E34=6),ROUNDDOWN(AVERAGE('Data for 2021'!I28:I32),0),'Data for 2021'!I33)</f>
        <v>98</v>
      </c>
      <c r="J34" s="55">
        <f t="shared" si="4"/>
        <v>201</v>
      </c>
      <c r="K34" s="55">
        <f t="shared" si="1"/>
        <v>129</v>
      </c>
      <c r="L34" s="55">
        <f t="shared" si="2"/>
        <v>0</v>
      </c>
      <c r="M34" s="55" t="str">
        <f t="shared" si="5"/>
        <v/>
      </c>
      <c r="N34" s="55" t="str">
        <f t="shared" si="6"/>
        <v/>
      </c>
      <c r="O34" s="55">
        <f t="shared" si="7"/>
        <v>0</v>
      </c>
      <c r="P34" s="50" t="s">
        <v>82</v>
      </c>
      <c r="Q34" s="53"/>
      <c r="R34" s="54">
        <f>MAX(R20:R33)</f>
        <v>171</v>
      </c>
      <c r="S34" s="31"/>
      <c r="T34" s="31"/>
      <c r="U34" s="31"/>
      <c r="V34" s="59"/>
      <c r="W34" s="59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</row>
    <row r="35" spans="1:54" x14ac:dyDescent="0.2">
      <c r="A35" s="31"/>
      <c r="B35" s="70">
        <v>16</v>
      </c>
      <c r="C35" s="51">
        <v>2</v>
      </c>
      <c r="D35" s="55">
        <v>2</v>
      </c>
      <c r="E35" s="37">
        <v>2</v>
      </c>
      <c r="F35" s="37">
        <f t="shared" si="0"/>
        <v>1</v>
      </c>
      <c r="G35" s="37" cm="1">
        <f t="array" ref="G35">IF(E35&lt;=INDEX($B$4:$B$17,C35),1,0)</f>
        <v>1</v>
      </c>
      <c r="H35" s="37">
        <f t="shared" si="3"/>
        <v>129</v>
      </c>
      <c r="I35" s="38">
        <f>IF(AND(sat_working=TRUE,E35=6),ROUNDDOWN(AVERAGE('Data for 2021'!I29:I33),0),'Data for 2021'!I34)</f>
        <v>90</v>
      </c>
      <c r="J35" s="55">
        <f t="shared" si="4"/>
        <v>129</v>
      </c>
      <c r="K35" s="55">
        <f t="shared" si="1"/>
        <v>90</v>
      </c>
      <c r="L35" s="55">
        <f t="shared" si="2"/>
        <v>1</v>
      </c>
      <c r="M35" s="55">
        <f t="shared" si="5"/>
        <v>170</v>
      </c>
      <c r="N35" s="55">
        <f t="shared" si="6"/>
        <v>129</v>
      </c>
      <c r="O35" s="55">
        <f t="shared" si="7"/>
        <v>0</v>
      </c>
      <c r="P35" s="52" t="s">
        <v>138</v>
      </c>
      <c r="Q35" s="57"/>
      <c r="R35" s="58">
        <f>INDEX(P20:P33,MATCH(R34,R20:R33))</f>
        <v>11</v>
      </c>
      <c r="S35" s="31"/>
      <c r="T35" s="31"/>
      <c r="U35" s="31"/>
      <c r="V35" s="59"/>
      <c r="W35" s="59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</row>
    <row r="36" spans="1:54" x14ac:dyDescent="0.2">
      <c r="A36" s="31"/>
      <c r="B36" s="67">
        <v>17</v>
      </c>
      <c r="C36" s="51">
        <v>2</v>
      </c>
      <c r="D36" s="55">
        <v>3</v>
      </c>
      <c r="E36" s="37">
        <v>3</v>
      </c>
      <c r="F36" s="37">
        <f t="shared" si="0"/>
        <v>1</v>
      </c>
      <c r="G36" s="37" cm="1">
        <f t="array" ref="G36">IF(E36&lt;=INDEX($B$4:$B$17,C36),1,0)</f>
        <v>1</v>
      </c>
      <c r="H36" s="37">
        <f t="shared" si="3"/>
        <v>90</v>
      </c>
      <c r="I36" s="38">
        <f>IF(AND(sat_working=TRUE,E36=6),ROUNDDOWN(AVERAGE('Data for 2021'!I30:I34),0),'Data for 2021'!I35)</f>
        <v>97</v>
      </c>
      <c r="J36" s="55">
        <f t="shared" si="4"/>
        <v>90</v>
      </c>
      <c r="K36" s="55">
        <f t="shared" si="1"/>
        <v>97</v>
      </c>
      <c r="L36" s="55">
        <f t="shared" si="2"/>
        <v>1</v>
      </c>
      <c r="M36" s="55" t="str">
        <f t="shared" si="5"/>
        <v/>
      </c>
      <c r="N36" s="55">
        <f t="shared" si="6"/>
        <v>90</v>
      </c>
      <c r="O36" s="55">
        <f t="shared" si="7"/>
        <v>1</v>
      </c>
      <c r="P36" s="31"/>
      <c r="Q36" s="31"/>
      <c r="R36" s="31"/>
      <c r="S36" s="31"/>
      <c r="T36" s="31"/>
      <c r="U36" s="31"/>
      <c r="V36" s="59"/>
      <c r="W36" s="59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</row>
    <row r="37" spans="1:54" x14ac:dyDescent="0.2">
      <c r="A37" s="31"/>
      <c r="B37" s="70">
        <v>18</v>
      </c>
      <c r="C37" s="51">
        <v>2</v>
      </c>
      <c r="D37" s="55">
        <v>4</v>
      </c>
      <c r="E37" s="37">
        <v>4</v>
      </c>
      <c r="F37" s="37">
        <f t="shared" si="0"/>
        <v>1</v>
      </c>
      <c r="G37" s="37" cm="1">
        <f t="array" ref="G37">IF(E37&lt;=INDEX($B$4:$B$17,C37),1,0)</f>
        <v>1</v>
      </c>
      <c r="H37" s="37">
        <f t="shared" si="3"/>
        <v>97</v>
      </c>
      <c r="I37" s="38">
        <f>IF(AND(sat_working=TRUE,E37=6),ROUNDDOWN(AVERAGE('Data for 2021'!I31:I35),0),'Data for 2021'!I36)</f>
        <v>110</v>
      </c>
      <c r="J37" s="55">
        <f t="shared" si="4"/>
        <v>97</v>
      </c>
      <c r="K37" s="55">
        <f t="shared" si="1"/>
        <v>110</v>
      </c>
      <c r="L37" s="55">
        <f t="shared" si="2"/>
        <v>1</v>
      </c>
      <c r="M37" s="55" t="str">
        <f t="shared" si="5"/>
        <v/>
      </c>
      <c r="N37" s="55">
        <f t="shared" si="6"/>
        <v>97</v>
      </c>
      <c r="O37" s="55">
        <f t="shared" si="7"/>
        <v>1</v>
      </c>
      <c r="P37" s="31"/>
      <c r="Q37" s="31"/>
      <c r="R37" s="31"/>
      <c r="S37" s="31"/>
      <c r="T37" s="31"/>
      <c r="U37" s="31"/>
      <c r="V37" s="59"/>
      <c r="W37" s="59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</row>
    <row r="38" spans="1:54" x14ac:dyDescent="0.2">
      <c r="A38" s="31"/>
      <c r="B38" s="67">
        <v>19</v>
      </c>
      <c r="C38" s="51">
        <v>2</v>
      </c>
      <c r="D38" s="55">
        <v>5</v>
      </c>
      <c r="E38" s="37">
        <v>5</v>
      </c>
      <c r="F38" s="37">
        <f t="shared" si="0"/>
        <v>1</v>
      </c>
      <c r="G38" s="37" cm="1">
        <f t="array" ref="G38">IF(E38&lt;=INDEX($B$4:$B$17,C38),1,0)</f>
        <v>0</v>
      </c>
      <c r="H38" s="37">
        <f t="shared" si="3"/>
        <v>0</v>
      </c>
      <c r="I38" s="38">
        <f>IF(AND(sat_working=TRUE,E38=6),ROUNDDOWN(AVERAGE('Data for 2021'!I32:I36),0),'Data for 2021'!I37)</f>
        <v>87</v>
      </c>
      <c r="J38" s="55">
        <f t="shared" si="4"/>
        <v>110</v>
      </c>
      <c r="K38" s="55">
        <f t="shared" si="1"/>
        <v>197</v>
      </c>
      <c r="L38" s="55">
        <f t="shared" si="2"/>
        <v>0</v>
      </c>
      <c r="M38" s="55" t="str">
        <f t="shared" si="5"/>
        <v/>
      </c>
      <c r="N38" s="55" t="str">
        <f t="shared" si="6"/>
        <v/>
      </c>
      <c r="O38" s="55">
        <f t="shared" si="7"/>
        <v>1</v>
      </c>
      <c r="P38" s="31"/>
      <c r="Q38" s="31"/>
      <c r="R38" s="31"/>
      <c r="S38" s="31"/>
      <c r="T38" s="31"/>
      <c r="U38" s="31"/>
      <c r="V38" s="59"/>
      <c r="W38" s="59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</row>
    <row r="39" spans="1:54" x14ac:dyDescent="0.2">
      <c r="A39" s="31"/>
      <c r="B39" s="70">
        <v>20</v>
      </c>
      <c r="C39" s="51">
        <v>2</v>
      </c>
      <c r="D39" s="55">
        <v>6</v>
      </c>
      <c r="E39" s="37">
        <v>6</v>
      </c>
      <c r="F39" s="37">
        <f t="shared" si="0"/>
        <v>1</v>
      </c>
      <c r="G39" s="37" cm="1">
        <f t="array" ref="G39">IF(E39&lt;=INDEX($B$4:$B$17,C39),1,0)</f>
        <v>0</v>
      </c>
      <c r="H39" s="37">
        <f t="shared" si="3"/>
        <v>0</v>
      </c>
      <c r="I39" s="38">
        <f>IF(AND(sat_working=TRUE,E39=6),ROUNDDOWN(AVERAGE('Data for 2021'!I33:I37,'Data for 2021'!I40:I44),0),'Data for 2021'!I38)</f>
        <v>94</v>
      </c>
      <c r="J39" s="55">
        <f t="shared" si="4"/>
        <v>197</v>
      </c>
      <c r="K39" s="55">
        <f t="shared" si="1"/>
        <v>291</v>
      </c>
      <c r="L39" s="55">
        <f t="shared" si="2"/>
        <v>0</v>
      </c>
      <c r="M39" s="55" t="str">
        <f t="shared" si="5"/>
        <v/>
      </c>
      <c r="N39" s="55" t="str">
        <f t="shared" si="6"/>
        <v/>
      </c>
      <c r="O39" s="55">
        <f t="shared" si="7"/>
        <v>1</v>
      </c>
      <c r="P39" s="31"/>
      <c r="Q39" s="31"/>
      <c r="R39" s="31"/>
      <c r="S39" s="31"/>
      <c r="T39" s="31"/>
      <c r="U39" s="31"/>
      <c r="V39" s="59"/>
      <c r="W39" s="59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</row>
    <row r="40" spans="1:54" x14ac:dyDescent="0.2">
      <c r="A40" s="31"/>
      <c r="B40" s="67">
        <v>21</v>
      </c>
      <c r="C40" s="51">
        <v>2</v>
      </c>
      <c r="D40" s="55">
        <v>7</v>
      </c>
      <c r="E40" s="37">
        <v>7</v>
      </c>
      <c r="F40" s="37">
        <f t="shared" si="0"/>
        <v>0</v>
      </c>
      <c r="G40" s="37" cm="1">
        <f t="array" ref="G40">IF(E40&lt;=INDEX($B$4:$B$17,C40),1,0)</f>
        <v>0</v>
      </c>
      <c r="H40" s="37">
        <f t="shared" si="3"/>
        <v>0</v>
      </c>
      <c r="I40" s="38">
        <f>IF(AND(sat_working=TRUE,E40=6),ROUNDDOWN(AVERAGE('Data for 2021'!I34:I38),0),'Data for 2021'!I39)</f>
        <v>0</v>
      </c>
      <c r="J40" s="55">
        <f t="shared" si="4"/>
        <v>291</v>
      </c>
      <c r="K40" s="55">
        <f t="shared" si="1"/>
        <v>291</v>
      </c>
      <c r="L40" s="55">
        <f t="shared" si="2"/>
        <v>0</v>
      </c>
      <c r="M40" s="55" t="str">
        <f t="shared" si="5"/>
        <v/>
      </c>
      <c r="N40" s="55" t="str">
        <f t="shared" si="6"/>
        <v/>
      </c>
      <c r="O40" s="55">
        <f t="shared" si="7"/>
        <v>0</v>
      </c>
      <c r="P40" s="31"/>
      <c r="Q40" s="31"/>
      <c r="R40" s="31"/>
      <c r="S40" s="31"/>
      <c r="T40" s="31"/>
      <c r="U40" s="31"/>
      <c r="V40" s="59"/>
      <c r="W40" s="59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</row>
    <row r="41" spans="1:54" x14ac:dyDescent="0.2">
      <c r="A41" s="31"/>
      <c r="B41" s="70">
        <v>22</v>
      </c>
      <c r="C41" s="51">
        <v>2</v>
      </c>
      <c r="D41" s="55">
        <v>8</v>
      </c>
      <c r="E41" s="35">
        <v>1</v>
      </c>
      <c r="F41" s="35">
        <f t="shared" si="0"/>
        <v>1</v>
      </c>
      <c r="G41" s="37" cm="1">
        <f t="array" ref="G41">IF(E41&lt;=INDEX($B$4:$B$17,C41),1,0)</f>
        <v>1</v>
      </c>
      <c r="H41" s="37">
        <f t="shared" si="3"/>
        <v>170</v>
      </c>
      <c r="I41" s="38">
        <f>IF(AND(sat_working=TRUE,E41=6),ROUNDDOWN(AVERAGE('Data for 2021'!I35:I39),0),'Data for 2021'!I40)</f>
        <v>77</v>
      </c>
      <c r="J41" s="55">
        <f t="shared" si="4"/>
        <v>291</v>
      </c>
      <c r="K41" s="55">
        <f t="shared" si="1"/>
        <v>198</v>
      </c>
      <c r="L41" s="55">
        <f t="shared" si="2"/>
        <v>0</v>
      </c>
      <c r="M41" s="55" t="str">
        <f t="shared" si="5"/>
        <v/>
      </c>
      <c r="N41" s="55" t="str">
        <f t="shared" si="6"/>
        <v/>
      </c>
      <c r="O41" s="55">
        <f t="shared" si="7"/>
        <v>0</v>
      </c>
      <c r="P41" s="31"/>
      <c r="Q41" s="31"/>
      <c r="R41" s="31"/>
      <c r="S41" s="31"/>
      <c r="T41" s="31"/>
      <c r="U41" s="31"/>
      <c r="V41" s="59"/>
      <c r="W41" s="59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</row>
    <row r="42" spans="1:54" x14ac:dyDescent="0.2">
      <c r="A42" s="31"/>
      <c r="B42" s="67">
        <v>23</v>
      </c>
      <c r="C42" s="51">
        <v>2</v>
      </c>
      <c r="D42" s="55">
        <v>9</v>
      </c>
      <c r="E42" s="37">
        <v>2</v>
      </c>
      <c r="F42" s="37">
        <f t="shared" si="0"/>
        <v>1</v>
      </c>
      <c r="G42" s="37" cm="1">
        <f t="array" ref="G42">IF(E42&lt;=INDEX($B$4:$B$17,C42),1,0)</f>
        <v>1</v>
      </c>
      <c r="H42" s="37">
        <f t="shared" si="3"/>
        <v>170</v>
      </c>
      <c r="I42" s="38">
        <f>IF(AND(sat_working=TRUE,E42=6),ROUNDDOWN(AVERAGE('Data for 2021'!I36:I40),0),'Data for 2021'!I41)</f>
        <v>92</v>
      </c>
      <c r="J42" s="55">
        <f t="shared" si="4"/>
        <v>198</v>
      </c>
      <c r="K42" s="55">
        <f t="shared" si="1"/>
        <v>120</v>
      </c>
      <c r="L42" s="55">
        <f t="shared" si="2"/>
        <v>0</v>
      </c>
      <c r="M42" s="55">
        <f t="shared" si="5"/>
        <v>170</v>
      </c>
      <c r="N42" s="55" t="str">
        <f t="shared" si="6"/>
        <v/>
      </c>
      <c r="O42" s="55">
        <f t="shared" si="7"/>
        <v>0</v>
      </c>
      <c r="P42" s="31"/>
      <c r="Q42" s="31"/>
      <c r="R42" s="31"/>
      <c r="S42" s="31"/>
      <c r="T42" s="31"/>
      <c r="U42" s="31"/>
      <c r="V42" s="59"/>
      <c r="W42" s="59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</row>
    <row r="43" spans="1:54" x14ac:dyDescent="0.2">
      <c r="A43" s="31"/>
      <c r="B43" s="70">
        <v>24</v>
      </c>
      <c r="C43" s="51">
        <v>2</v>
      </c>
      <c r="D43" s="55">
        <v>10</v>
      </c>
      <c r="E43" s="37">
        <v>3</v>
      </c>
      <c r="F43" s="37">
        <f t="shared" si="0"/>
        <v>1</v>
      </c>
      <c r="G43" s="37" cm="1">
        <f t="array" ref="G43">IF(E43&lt;=INDEX($B$4:$B$17,C43),1,0)</f>
        <v>1</v>
      </c>
      <c r="H43" s="37">
        <f t="shared" si="3"/>
        <v>120</v>
      </c>
      <c r="I43" s="38">
        <f>IF(AND(sat_working=TRUE,E43=6),ROUNDDOWN(AVERAGE('Data for 2021'!I37:I41),0),'Data for 2021'!I42)</f>
        <v>90</v>
      </c>
      <c r="J43" s="55">
        <f t="shared" si="4"/>
        <v>120</v>
      </c>
      <c r="K43" s="55">
        <f t="shared" si="1"/>
        <v>90</v>
      </c>
      <c r="L43" s="55">
        <f t="shared" si="2"/>
        <v>1</v>
      </c>
      <c r="M43" s="55">
        <f t="shared" si="5"/>
        <v>170</v>
      </c>
      <c r="N43" s="55">
        <f t="shared" si="6"/>
        <v>120</v>
      </c>
      <c r="O43" s="55">
        <f t="shared" si="7"/>
        <v>0</v>
      </c>
      <c r="P43" s="31"/>
      <c r="Q43" s="31"/>
      <c r="R43" s="31"/>
      <c r="S43" s="31"/>
      <c r="T43" s="31"/>
      <c r="U43" s="31"/>
      <c r="V43" s="59"/>
      <c r="W43" s="59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</row>
    <row r="44" spans="1:54" x14ac:dyDescent="0.2">
      <c r="A44" s="31"/>
      <c r="B44" s="67">
        <v>25</v>
      </c>
      <c r="C44" s="51">
        <v>2</v>
      </c>
      <c r="D44" s="55">
        <v>11</v>
      </c>
      <c r="E44" s="37">
        <v>4</v>
      </c>
      <c r="F44" s="37">
        <f t="shared" si="0"/>
        <v>1</v>
      </c>
      <c r="G44" s="37" cm="1">
        <f t="array" ref="G44">IF(E44&lt;=INDEX($B$4:$B$17,C44),1,0)</f>
        <v>1</v>
      </c>
      <c r="H44" s="37">
        <f t="shared" si="3"/>
        <v>90</v>
      </c>
      <c r="I44" s="38">
        <f>IF(AND(sat_working=TRUE,E44=6),ROUNDDOWN(AVERAGE('Data for 2021'!I38:I42),0),'Data for 2021'!I43)</f>
        <v>97</v>
      </c>
      <c r="J44" s="55">
        <f t="shared" si="4"/>
        <v>90</v>
      </c>
      <c r="K44" s="55">
        <f t="shared" si="1"/>
        <v>97</v>
      </c>
      <c r="L44" s="55">
        <f t="shared" si="2"/>
        <v>1</v>
      </c>
      <c r="M44" s="55" t="str">
        <f t="shared" si="5"/>
        <v/>
      </c>
      <c r="N44" s="55">
        <f t="shared" si="6"/>
        <v>90</v>
      </c>
      <c r="O44" s="55">
        <f t="shared" si="7"/>
        <v>1</v>
      </c>
      <c r="P44" s="31"/>
      <c r="Q44" s="31"/>
      <c r="R44" s="31"/>
      <c r="S44" s="31"/>
      <c r="T44" s="31"/>
      <c r="U44" s="31"/>
      <c r="V44" s="64"/>
      <c r="W44" s="64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</row>
    <row r="45" spans="1:54" x14ac:dyDescent="0.2">
      <c r="A45" s="31"/>
      <c r="B45" s="70">
        <v>26</v>
      </c>
      <c r="C45" s="51">
        <v>2</v>
      </c>
      <c r="D45" s="55">
        <v>12</v>
      </c>
      <c r="E45" s="37">
        <v>5</v>
      </c>
      <c r="F45" s="37">
        <f t="shared" si="0"/>
        <v>1</v>
      </c>
      <c r="G45" s="37" cm="1">
        <f t="array" ref="G45">IF(E45&lt;=INDEX($B$4:$B$17,C45),1,0)</f>
        <v>0</v>
      </c>
      <c r="H45" s="37">
        <f t="shared" si="3"/>
        <v>0</v>
      </c>
      <c r="I45" s="38">
        <f>IF(AND(sat_working=TRUE,E45=6),ROUNDDOWN(AVERAGE('Data for 2021'!I39:I43),0),'Data for 2021'!I44)</f>
        <v>102</v>
      </c>
      <c r="J45" s="55">
        <f t="shared" si="4"/>
        <v>97</v>
      </c>
      <c r="K45" s="55">
        <f t="shared" si="1"/>
        <v>199</v>
      </c>
      <c r="L45" s="55">
        <f t="shared" si="2"/>
        <v>0</v>
      </c>
      <c r="M45" s="55" t="str">
        <f t="shared" si="5"/>
        <v/>
      </c>
      <c r="N45" s="55" t="str">
        <f t="shared" si="6"/>
        <v/>
      </c>
      <c r="O45" s="55">
        <f t="shared" si="7"/>
        <v>1</v>
      </c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</row>
    <row r="46" spans="1:54" x14ac:dyDescent="0.2">
      <c r="A46" s="31"/>
      <c r="B46" s="67">
        <v>27</v>
      </c>
      <c r="C46" s="51">
        <v>2</v>
      </c>
      <c r="D46" s="55">
        <v>13</v>
      </c>
      <c r="E46" s="37">
        <v>6</v>
      </c>
      <c r="F46" s="37">
        <f t="shared" si="0"/>
        <v>1</v>
      </c>
      <c r="G46" s="37" cm="1">
        <f t="array" ref="G46">IF(E46&lt;=INDEX($B$4:$B$17,C46),1,0)</f>
        <v>0</v>
      </c>
      <c r="H46" s="37">
        <f t="shared" si="3"/>
        <v>0</v>
      </c>
      <c r="I46" s="38">
        <f>I39</f>
        <v>94</v>
      </c>
      <c r="J46" s="55">
        <f t="shared" si="4"/>
        <v>199</v>
      </c>
      <c r="K46" s="55">
        <f t="shared" si="1"/>
        <v>293</v>
      </c>
      <c r="L46" s="55">
        <f t="shared" si="2"/>
        <v>0</v>
      </c>
      <c r="M46" s="55" t="str">
        <f t="shared" si="5"/>
        <v/>
      </c>
      <c r="N46" s="55" t="str">
        <f t="shared" si="6"/>
        <v/>
      </c>
      <c r="O46" s="55">
        <f t="shared" si="7"/>
        <v>1</v>
      </c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</row>
    <row r="47" spans="1:54" x14ac:dyDescent="0.2">
      <c r="A47" s="31"/>
      <c r="B47" s="70">
        <v>28</v>
      </c>
      <c r="C47" s="52">
        <v>2</v>
      </c>
      <c r="D47" s="57">
        <v>14</v>
      </c>
      <c r="E47" s="37">
        <v>7</v>
      </c>
      <c r="F47" s="37">
        <f t="shared" si="0"/>
        <v>0</v>
      </c>
      <c r="G47" s="37" cm="1">
        <f t="array" ref="G47">IF(E47&lt;=INDEX($B$4:$B$17,C47),1,0)</f>
        <v>0</v>
      </c>
      <c r="H47" s="37">
        <f t="shared" si="3"/>
        <v>0</v>
      </c>
      <c r="I47" s="38">
        <f>IF(AND(sat_working=TRUE,E47=6),ROUNDDOWN(AVERAGE('Data for 2021'!I41:I45),0),'Data for 2021'!I46)</f>
        <v>0</v>
      </c>
      <c r="J47" s="55">
        <f t="shared" si="4"/>
        <v>293</v>
      </c>
      <c r="K47" s="55">
        <f t="shared" si="1"/>
        <v>293</v>
      </c>
      <c r="L47" s="55">
        <f t="shared" si="2"/>
        <v>0</v>
      </c>
      <c r="M47" s="55" t="str">
        <f t="shared" si="5"/>
        <v/>
      </c>
      <c r="N47" s="55" t="str">
        <f t="shared" si="6"/>
        <v/>
      </c>
      <c r="O47" s="55">
        <f t="shared" si="7"/>
        <v>0</v>
      </c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</row>
    <row r="48" spans="1:54" x14ac:dyDescent="0.2">
      <c r="A48" s="31" t="s">
        <v>98</v>
      </c>
      <c r="B48" s="67">
        <v>29</v>
      </c>
      <c r="C48" s="50">
        <v>3</v>
      </c>
      <c r="D48" s="53">
        <v>1</v>
      </c>
      <c r="E48" s="35">
        <v>1</v>
      </c>
      <c r="F48" s="35">
        <f t="shared" si="0"/>
        <v>1</v>
      </c>
      <c r="G48" s="35" cm="1">
        <f t="array" ref="G48">IF(E48&lt;=INDEX($B$4:$B$17,C48),1,0)</f>
        <v>1</v>
      </c>
      <c r="H48" s="37">
        <f t="shared" si="3"/>
        <v>170</v>
      </c>
      <c r="I48" s="38">
        <f>IF(AND(sat_working=TRUE,E48=6),ROUNDDOWN(AVERAGE('Data for 2021'!I42:I46),0),'Data for 2021'!I47)</f>
        <v>63</v>
      </c>
      <c r="J48" s="55">
        <f t="shared" si="4"/>
        <v>293</v>
      </c>
      <c r="K48" s="55">
        <f t="shared" si="1"/>
        <v>186</v>
      </c>
      <c r="L48" s="55">
        <f t="shared" si="2"/>
        <v>0</v>
      </c>
      <c r="M48" s="55" t="str">
        <f t="shared" si="5"/>
        <v/>
      </c>
      <c r="N48" s="55" t="str">
        <f t="shared" si="6"/>
        <v/>
      </c>
      <c r="O48" s="55">
        <f t="shared" si="7"/>
        <v>0</v>
      </c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</row>
    <row r="49" spans="1:54" x14ac:dyDescent="0.2">
      <c r="A49" s="31"/>
      <c r="B49" s="70">
        <v>30</v>
      </c>
      <c r="C49" s="51">
        <v>3</v>
      </c>
      <c r="D49" s="55">
        <v>2</v>
      </c>
      <c r="E49" s="37">
        <v>2</v>
      </c>
      <c r="F49" s="37">
        <f t="shared" si="0"/>
        <v>1</v>
      </c>
      <c r="G49" s="37" cm="1">
        <f t="array" ref="G49">IF(E49&lt;=INDEX($B$4:$B$17,C49),1,0)</f>
        <v>1</v>
      </c>
      <c r="H49" s="37">
        <f t="shared" si="3"/>
        <v>170</v>
      </c>
      <c r="I49" s="38">
        <f>IF(AND(sat_working=TRUE,E49=6),ROUNDDOWN(AVERAGE('Data for 2021'!I43:I47),0),'Data for 2021'!I48)</f>
        <v>83</v>
      </c>
      <c r="J49" s="55">
        <f t="shared" si="4"/>
        <v>186</v>
      </c>
      <c r="K49" s="55">
        <f t="shared" si="1"/>
        <v>99</v>
      </c>
      <c r="L49" s="55">
        <f t="shared" si="2"/>
        <v>0</v>
      </c>
      <c r="M49" s="55">
        <f t="shared" si="5"/>
        <v>170</v>
      </c>
      <c r="N49" s="55" t="str">
        <f t="shared" si="6"/>
        <v/>
      </c>
      <c r="O49" s="55">
        <f t="shared" si="7"/>
        <v>0</v>
      </c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</row>
    <row r="50" spans="1:54" x14ac:dyDescent="0.2">
      <c r="A50" s="31"/>
      <c r="B50" s="67">
        <v>31</v>
      </c>
      <c r="C50" s="51">
        <v>3</v>
      </c>
      <c r="D50" s="55">
        <v>3</v>
      </c>
      <c r="E50" s="37">
        <v>3</v>
      </c>
      <c r="F50" s="37">
        <f t="shared" si="0"/>
        <v>1</v>
      </c>
      <c r="G50" s="37" cm="1">
        <f t="array" ref="G50">IF(E50&lt;=INDEX($B$4:$B$17,C50),1,0)</f>
        <v>1</v>
      </c>
      <c r="H50" s="37">
        <f t="shared" si="3"/>
        <v>99</v>
      </c>
      <c r="I50" s="38">
        <f>IF(AND(sat_working=TRUE,E50=6),ROUNDDOWN(AVERAGE('Data for 2021'!I44:I48),0),'Data for 2021'!I49)</f>
        <v>85</v>
      </c>
      <c r="J50" s="55">
        <f t="shared" si="4"/>
        <v>99</v>
      </c>
      <c r="K50" s="55">
        <f t="shared" si="1"/>
        <v>85</v>
      </c>
      <c r="L50" s="55">
        <f t="shared" si="2"/>
        <v>1</v>
      </c>
      <c r="M50" s="55">
        <f t="shared" si="5"/>
        <v>170</v>
      </c>
      <c r="N50" s="55">
        <f t="shared" si="6"/>
        <v>99</v>
      </c>
      <c r="O50" s="55">
        <f t="shared" si="7"/>
        <v>0</v>
      </c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</row>
    <row r="51" spans="1:54" x14ac:dyDescent="0.2">
      <c r="A51" s="31"/>
      <c r="B51" s="70">
        <v>32</v>
      </c>
      <c r="C51" s="51">
        <v>3</v>
      </c>
      <c r="D51" s="55">
        <v>4</v>
      </c>
      <c r="E51" s="37">
        <v>4</v>
      </c>
      <c r="F51" s="37">
        <f t="shared" si="0"/>
        <v>1</v>
      </c>
      <c r="G51" s="37" cm="1">
        <f t="array" ref="G51">IF(E51&lt;=INDEX($B$4:$B$17,C51),1,0)</f>
        <v>1</v>
      </c>
      <c r="H51" s="37">
        <f t="shared" si="3"/>
        <v>85</v>
      </c>
      <c r="I51" s="38">
        <f>IF(AND(sat_working=TRUE,E51=6),ROUNDDOWN(AVERAGE('Data for 2021'!I45:I49),0),'Data for 2021'!I50)</f>
        <v>106</v>
      </c>
      <c r="J51" s="55">
        <f t="shared" si="4"/>
        <v>85</v>
      </c>
      <c r="K51" s="55">
        <f t="shared" si="1"/>
        <v>106</v>
      </c>
      <c r="L51" s="55">
        <f t="shared" si="2"/>
        <v>1</v>
      </c>
      <c r="M51" s="55" t="str">
        <f t="shared" si="5"/>
        <v/>
      </c>
      <c r="N51" s="55">
        <f t="shared" si="6"/>
        <v>85</v>
      </c>
      <c r="O51" s="55">
        <f t="shared" si="7"/>
        <v>1</v>
      </c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</row>
    <row r="52" spans="1:54" x14ac:dyDescent="0.2">
      <c r="A52" s="31"/>
      <c r="B52" s="67">
        <v>33</v>
      </c>
      <c r="C52" s="51">
        <v>3</v>
      </c>
      <c r="D52" s="55">
        <v>5</v>
      </c>
      <c r="E52" s="37">
        <v>5</v>
      </c>
      <c r="F52" s="37">
        <f t="shared" ref="F52:F83" si="8">IF(OR(I52&lt;&gt;0,(AND(sat_working=TRUE,E52=6))),1,0)</f>
        <v>1</v>
      </c>
      <c r="G52" s="37" cm="1">
        <f t="array" ref="G52">IF(E52&lt;=INDEX($B$4:$B$17,C52),1,0)</f>
        <v>0</v>
      </c>
      <c r="H52" s="37">
        <f t="shared" si="3"/>
        <v>0</v>
      </c>
      <c r="I52" s="38">
        <f>IF(AND(sat_working=TRUE,E52=6),ROUNDDOWN(AVERAGE('Data for 2021'!I46:I50),0),'Data for 2021'!I51)</f>
        <v>91</v>
      </c>
      <c r="J52" s="55">
        <f t="shared" si="4"/>
        <v>106</v>
      </c>
      <c r="K52" s="55">
        <f t="shared" ref="K52:K83" si="9">J52+I52-H52</f>
        <v>197</v>
      </c>
      <c r="L52" s="55">
        <f t="shared" si="2"/>
        <v>0</v>
      </c>
      <c r="M52" s="55" t="str">
        <f t="shared" si="5"/>
        <v/>
      </c>
      <c r="N52" s="55" t="str">
        <f t="shared" si="6"/>
        <v/>
      </c>
      <c r="O52" s="55">
        <f t="shared" si="7"/>
        <v>1</v>
      </c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</row>
    <row r="53" spans="1:54" x14ac:dyDescent="0.2">
      <c r="A53" s="31"/>
      <c r="B53" s="70">
        <v>34</v>
      </c>
      <c r="C53" s="51">
        <v>3</v>
      </c>
      <c r="D53" s="55">
        <v>6</v>
      </c>
      <c r="E53" s="37">
        <v>6</v>
      </c>
      <c r="F53" s="37">
        <f t="shared" si="8"/>
        <v>1</v>
      </c>
      <c r="G53" s="37" cm="1">
        <f t="array" ref="G53">IF(E53&lt;=INDEX($B$4:$B$17,C53),1,0)</f>
        <v>0</v>
      </c>
      <c r="H53" s="37">
        <f t="shared" si="3"/>
        <v>0</v>
      </c>
      <c r="I53" s="38">
        <f>IF(AND(sat_working=TRUE,E53=6),ROUNDDOWN(AVERAGE('Data for 2021'!I47:I51,'Data for 2021'!I54:I58),0),'Data for 2021'!I52)</f>
        <v>98</v>
      </c>
      <c r="J53" s="55">
        <f t="shared" si="4"/>
        <v>197</v>
      </c>
      <c r="K53" s="55">
        <f t="shared" si="9"/>
        <v>295</v>
      </c>
      <c r="L53" s="55">
        <f t="shared" ref="L53:L84" si="10">IF(AND(H53=J53,G53),1,0)</f>
        <v>0</v>
      </c>
      <c r="M53" s="55" t="str">
        <f t="shared" si="5"/>
        <v/>
      </c>
      <c r="N53" s="55" t="str">
        <f t="shared" si="6"/>
        <v/>
      </c>
      <c r="O53" s="55">
        <f t="shared" si="7"/>
        <v>1</v>
      </c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</row>
    <row r="54" spans="1:54" x14ac:dyDescent="0.2">
      <c r="A54" s="31"/>
      <c r="B54" s="67">
        <v>35</v>
      </c>
      <c r="C54" s="51">
        <v>3</v>
      </c>
      <c r="D54" s="55">
        <v>7</v>
      </c>
      <c r="E54" s="37">
        <v>7</v>
      </c>
      <c r="F54" s="37">
        <f t="shared" si="8"/>
        <v>0</v>
      </c>
      <c r="G54" s="37" cm="1">
        <f t="array" ref="G54">IF(E54&lt;=INDEX($B$4:$B$17,C54),1,0)</f>
        <v>0</v>
      </c>
      <c r="H54" s="37">
        <f t="shared" si="3"/>
        <v>0</v>
      </c>
      <c r="I54" s="38">
        <f>IF(AND(sat_working=TRUE,E54=6),ROUNDDOWN(AVERAGE('Data for 2021'!I48:I52),0),'Data for 2021'!I53)</f>
        <v>0</v>
      </c>
      <c r="J54" s="55">
        <f t="shared" si="4"/>
        <v>295</v>
      </c>
      <c r="K54" s="55">
        <f t="shared" si="9"/>
        <v>295</v>
      </c>
      <c r="L54" s="55">
        <f t="shared" si="10"/>
        <v>0</v>
      </c>
      <c r="M54" s="55" t="str">
        <f t="shared" si="5"/>
        <v/>
      </c>
      <c r="N54" s="55" t="str">
        <f t="shared" si="6"/>
        <v/>
      </c>
      <c r="O54" s="55">
        <f t="shared" si="7"/>
        <v>0</v>
      </c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</row>
    <row r="55" spans="1:54" x14ac:dyDescent="0.2">
      <c r="A55" s="31"/>
      <c r="B55" s="70">
        <v>36</v>
      </c>
      <c r="C55" s="51">
        <v>3</v>
      </c>
      <c r="D55" s="55">
        <v>8</v>
      </c>
      <c r="E55" s="35">
        <v>1</v>
      </c>
      <c r="F55" s="35">
        <f t="shared" si="8"/>
        <v>1</v>
      </c>
      <c r="G55" s="37" cm="1">
        <f t="array" ref="G55">IF(E55&lt;=INDEX($B$4:$B$17,C55),1,0)</f>
        <v>1</v>
      </c>
      <c r="H55" s="37">
        <f t="shared" si="3"/>
        <v>170</v>
      </c>
      <c r="I55" s="38">
        <f>IF(AND(sat_working=TRUE,E55=6),ROUNDDOWN(AVERAGE('Data for 2021'!I49:I53),0),'Data for 2021'!I54)</f>
        <v>138</v>
      </c>
      <c r="J55" s="55">
        <f t="shared" si="4"/>
        <v>295</v>
      </c>
      <c r="K55" s="55">
        <f t="shared" si="9"/>
        <v>263</v>
      </c>
      <c r="L55" s="55">
        <f t="shared" si="10"/>
        <v>0</v>
      </c>
      <c r="M55" s="55" t="str">
        <f t="shared" si="5"/>
        <v/>
      </c>
      <c r="N55" s="55" t="str">
        <f t="shared" si="6"/>
        <v/>
      </c>
      <c r="O55" s="55">
        <f t="shared" si="7"/>
        <v>0</v>
      </c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</row>
    <row r="56" spans="1:54" x14ac:dyDescent="0.2">
      <c r="A56" s="31"/>
      <c r="B56" s="67">
        <v>37</v>
      </c>
      <c r="C56" s="51">
        <v>3</v>
      </c>
      <c r="D56" s="55">
        <v>9</v>
      </c>
      <c r="E56" s="37">
        <v>2</v>
      </c>
      <c r="F56" s="37">
        <f t="shared" si="8"/>
        <v>1</v>
      </c>
      <c r="G56" s="37" cm="1">
        <f t="array" ref="G56">IF(E56&lt;=INDEX($B$4:$B$17,C56),1,0)</f>
        <v>1</v>
      </c>
      <c r="H56" s="37">
        <f t="shared" si="3"/>
        <v>170</v>
      </c>
      <c r="I56" s="38">
        <f>IF(AND(sat_working=TRUE,E56=6),ROUNDDOWN(AVERAGE('Data for 2021'!I50:I54),0),'Data for 2021'!I55)</f>
        <v>102</v>
      </c>
      <c r="J56" s="55">
        <f t="shared" si="4"/>
        <v>263</v>
      </c>
      <c r="K56" s="55">
        <f t="shared" si="9"/>
        <v>195</v>
      </c>
      <c r="L56" s="55">
        <f t="shared" si="10"/>
        <v>0</v>
      </c>
      <c r="M56" s="55">
        <f t="shared" si="5"/>
        <v>170</v>
      </c>
      <c r="N56" s="55" t="str">
        <f t="shared" si="6"/>
        <v/>
      </c>
      <c r="O56" s="55">
        <f t="shared" si="7"/>
        <v>0</v>
      </c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</row>
    <row r="57" spans="1:54" x14ac:dyDescent="0.2">
      <c r="A57" s="31"/>
      <c r="B57" s="70">
        <v>38</v>
      </c>
      <c r="C57" s="51">
        <v>3</v>
      </c>
      <c r="D57" s="55">
        <v>10</v>
      </c>
      <c r="E57" s="37">
        <v>3</v>
      </c>
      <c r="F57" s="37">
        <f t="shared" si="8"/>
        <v>1</v>
      </c>
      <c r="G57" s="37" cm="1">
        <f t="array" ref="G57">IF(E57&lt;=INDEX($B$4:$B$17,C57),1,0)</f>
        <v>1</v>
      </c>
      <c r="H57" s="37">
        <f t="shared" si="3"/>
        <v>170</v>
      </c>
      <c r="I57" s="38">
        <f>IF(AND(sat_working=TRUE,E57=6),ROUNDDOWN(AVERAGE('Data for 2021'!I51:I55),0),'Data for 2021'!I56)</f>
        <v>109</v>
      </c>
      <c r="J57" s="55">
        <f t="shared" si="4"/>
        <v>195</v>
      </c>
      <c r="K57" s="55">
        <f t="shared" si="9"/>
        <v>134</v>
      </c>
      <c r="L57" s="55">
        <f t="shared" si="10"/>
        <v>0</v>
      </c>
      <c r="M57" s="55">
        <f t="shared" si="5"/>
        <v>170</v>
      </c>
      <c r="N57" s="55" t="str">
        <f t="shared" si="6"/>
        <v/>
      </c>
      <c r="O57" s="55">
        <f t="shared" si="7"/>
        <v>0</v>
      </c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</row>
    <row r="58" spans="1:54" x14ac:dyDescent="0.2">
      <c r="A58" s="31"/>
      <c r="B58" s="67">
        <v>39</v>
      </c>
      <c r="C58" s="51">
        <v>3</v>
      </c>
      <c r="D58" s="55">
        <v>11</v>
      </c>
      <c r="E58" s="37">
        <v>4</v>
      </c>
      <c r="F58" s="37">
        <f t="shared" si="8"/>
        <v>1</v>
      </c>
      <c r="G58" s="37" cm="1">
        <f t="array" ref="G58">IF(E58&lt;=INDEX($B$4:$B$17,C58),1,0)</f>
        <v>1</v>
      </c>
      <c r="H58" s="37">
        <f t="shared" si="3"/>
        <v>134</v>
      </c>
      <c r="I58" s="38">
        <f>IF(AND(sat_working=TRUE,E58=6),ROUNDDOWN(AVERAGE('Data for 2021'!I52:I56),0),'Data for 2021'!I57)</f>
        <v>83</v>
      </c>
      <c r="J58" s="55">
        <f t="shared" si="4"/>
        <v>134</v>
      </c>
      <c r="K58" s="55">
        <f t="shared" si="9"/>
        <v>83</v>
      </c>
      <c r="L58" s="55">
        <f t="shared" si="10"/>
        <v>1</v>
      </c>
      <c r="M58" s="55">
        <f t="shared" si="5"/>
        <v>170</v>
      </c>
      <c r="N58" s="55">
        <f t="shared" si="6"/>
        <v>134</v>
      </c>
      <c r="O58" s="55">
        <f t="shared" si="7"/>
        <v>0</v>
      </c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</row>
    <row r="59" spans="1:54" x14ac:dyDescent="0.2">
      <c r="A59" s="31"/>
      <c r="B59" s="70">
        <v>40</v>
      </c>
      <c r="C59" s="51">
        <v>3</v>
      </c>
      <c r="D59" s="55">
        <v>12</v>
      </c>
      <c r="E59" s="37">
        <v>5</v>
      </c>
      <c r="F59" s="37">
        <f t="shared" si="8"/>
        <v>1</v>
      </c>
      <c r="G59" s="37" cm="1">
        <f t="array" ref="G59">IF(E59&lt;=INDEX($B$4:$B$17,C59),1,0)</f>
        <v>0</v>
      </c>
      <c r="H59" s="37">
        <f t="shared" si="3"/>
        <v>0</v>
      </c>
      <c r="I59" s="38">
        <f>IF(AND(sat_working=TRUE,E59=6),ROUNDDOWN(AVERAGE('Data for 2021'!I53:I57),0),'Data for 2021'!I58)</f>
        <v>122</v>
      </c>
      <c r="J59" s="55">
        <f t="shared" si="4"/>
        <v>83</v>
      </c>
      <c r="K59" s="55">
        <f t="shared" si="9"/>
        <v>205</v>
      </c>
      <c r="L59" s="55">
        <f t="shared" si="10"/>
        <v>0</v>
      </c>
      <c r="M59" s="55" t="str">
        <f t="shared" si="5"/>
        <v/>
      </c>
      <c r="N59" s="55" t="str">
        <f t="shared" si="6"/>
        <v/>
      </c>
      <c r="O59" s="55">
        <f t="shared" si="7"/>
        <v>1</v>
      </c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</row>
    <row r="60" spans="1:54" x14ac:dyDescent="0.2">
      <c r="A60" s="31"/>
      <c r="B60" s="67">
        <v>41</v>
      </c>
      <c r="C60" s="51">
        <v>3</v>
      </c>
      <c r="D60" s="55">
        <v>13</v>
      </c>
      <c r="E60" s="37">
        <v>6</v>
      </c>
      <c r="F60" s="37">
        <f t="shared" si="8"/>
        <v>1</v>
      </c>
      <c r="G60" s="37" cm="1">
        <f t="array" ref="G60">IF(E60&lt;=INDEX($B$4:$B$17,C60),1,0)</f>
        <v>0</v>
      </c>
      <c r="H60" s="37">
        <f t="shared" si="3"/>
        <v>0</v>
      </c>
      <c r="I60" s="38">
        <f>I53</f>
        <v>98</v>
      </c>
      <c r="J60" s="55">
        <f t="shared" si="4"/>
        <v>205</v>
      </c>
      <c r="K60" s="55">
        <f t="shared" si="9"/>
        <v>303</v>
      </c>
      <c r="L60" s="55">
        <f t="shared" si="10"/>
        <v>0</v>
      </c>
      <c r="M60" s="55" t="str">
        <f t="shared" si="5"/>
        <v/>
      </c>
      <c r="N60" s="55" t="str">
        <f t="shared" si="6"/>
        <v/>
      </c>
      <c r="O60" s="55">
        <f t="shared" si="7"/>
        <v>1</v>
      </c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</row>
    <row r="61" spans="1:54" x14ac:dyDescent="0.2">
      <c r="A61" s="31"/>
      <c r="B61" s="70">
        <v>42</v>
      </c>
      <c r="C61" s="52">
        <v>3</v>
      </c>
      <c r="D61" s="57">
        <v>14</v>
      </c>
      <c r="E61" s="37">
        <v>7</v>
      </c>
      <c r="F61" s="37">
        <f t="shared" si="8"/>
        <v>0</v>
      </c>
      <c r="G61" s="37" cm="1">
        <f t="array" ref="G61">IF(E61&lt;=INDEX($B$4:$B$17,C61),1,0)</f>
        <v>0</v>
      </c>
      <c r="H61" s="37">
        <f t="shared" si="3"/>
        <v>0</v>
      </c>
      <c r="I61" s="38">
        <f>IF(AND(sat_working=TRUE,E61=6),ROUNDDOWN(AVERAGE('Data for 2021'!I55:I59),0),'Data for 2021'!I60)</f>
        <v>0</v>
      </c>
      <c r="J61" s="55">
        <f t="shared" si="4"/>
        <v>303</v>
      </c>
      <c r="K61" s="55">
        <f t="shared" si="9"/>
        <v>303</v>
      </c>
      <c r="L61" s="55">
        <f t="shared" si="10"/>
        <v>0</v>
      </c>
      <c r="M61" s="55" t="str">
        <f t="shared" si="5"/>
        <v/>
      </c>
      <c r="N61" s="55" t="str">
        <f t="shared" si="6"/>
        <v/>
      </c>
      <c r="O61" s="55">
        <f t="shared" si="7"/>
        <v>0</v>
      </c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</row>
    <row r="62" spans="1:54" x14ac:dyDescent="0.2">
      <c r="A62" s="31" t="s">
        <v>97</v>
      </c>
      <c r="B62" s="67">
        <v>43</v>
      </c>
      <c r="C62" s="50">
        <v>4</v>
      </c>
      <c r="D62" s="53">
        <v>1</v>
      </c>
      <c r="E62" s="35">
        <v>1</v>
      </c>
      <c r="F62" s="35">
        <f t="shared" si="8"/>
        <v>1</v>
      </c>
      <c r="G62" s="35" cm="1">
        <f t="array" ref="G62">IF(E62&lt;=INDEX($B$4:$B$17,C62),1,0)</f>
        <v>1</v>
      </c>
      <c r="H62" s="37">
        <f t="shared" si="3"/>
        <v>170</v>
      </c>
      <c r="I62" s="38">
        <f>IF(AND(sat_working=TRUE,E62=6),ROUNDDOWN(AVERAGE('Data for 2021'!I56:I60),0),'Data for 2021'!I61)</f>
        <v>129</v>
      </c>
      <c r="J62" s="55">
        <f t="shared" si="4"/>
        <v>303</v>
      </c>
      <c r="K62" s="55">
        <f t="shared" si="9"/>
        <v>262</v>
      </c>
      <c r="L62" s="55">
        <f t="shared" si="10"/>
        <v>0</v>
      </c>
      <c r="M62" s="55" t="str">
        <f t="shared" si="5"/>
        <v/>
      </c>
      <c r="N62" s="55" t="str">
        <f t="shared" si="6"/>
        <v/>
      </c>
      <c r="O62" s="55">
        <f t="shared" si="7"/>
        <v>0</v>
      </c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</row>
    <row r="63" spans="1:54" x14ac:dyDescent="0.2">
      <c r="A63" s="31"/>
      <c r="B63" s="70">
        <v>44</v>
      </c>
      <c r="C63" s="51">
        <v>4</v>
      </c>
      <c r="D63" s="55">
        <v>2</v>
      </c>
      <c r="E63" s="37">
        <v>2</v>
      </c>
      <c r="F63" s="37">
        <f t="shared" si="8"/>
        <v>1</v>
      </c>
      <c r="G63" s="37" cm="1">
        <f t="array" ref="G63">IF(E63&lt;=INDEX($B$4:$B$17,C63),1,0)</f>
        <v>1</v>
      </c>
      <c r="H63" s="37">
        <f t="shared" si="3"/>
        <v>170</v>
      </c>
      <c r="I63" s="38">
        <f>IF(AND(sat_working=TRUE,E63=6),ROUNDDOWN(AVERAGE('Data for 2021'!I57:I61),0),'Data for 2021'!I62)</f>
        <v>50</v>
      </c>
      <c r="J63" s="55">
        <f t="shared" si="4"/>
        <v>262</v>
      </c>
      <c r="K63" s="55">
        <f t="shared" si="9"/>
        <v>142</v>
      </c>
      <c r="L63" s="55">
        <f t="shared" si="10"/>
        <v>0</v>
      </c>
      <c r="M63" s="55">
        <f t="shared" si="5"/>
        <v>170</v>
      </c>
      <c r="N63" s="55" t="str">
        <f t="shared" si="6"/>
        <v/>
      </c>
      <c r="O63" s="55">
        <f t="shared" si="7"/>
        <v>0</v>
      </c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</row>
    <row r="64" spans="1:54" x14ac:dyDescent="0.2">
      <c r="A64" s="31"/>
      <c r="B64" s="67">
        <v>45</v>
      </c>
      <c r="C64" s="51">
        <v>4</v>
      </c>
      <c r="D64" s="55">
        <v>3</v>
      </c>
      <c r="E64" s="37">
        <v>3</v>
      </c>
      <c r="F64" s="37">
        <f t="shared" si="8"/>
        <v>1</v>
      </c>
      <c r="G64" s="37" cm="1">
        <f t="array" ref="G64">IF(E64&lt;=INDEX($B$4:$B$17,C64),1,0)</f>
        <v>1</v>
      </c>
      <c r="H64" s="37">
        <f t="shared" si="3"/>
        <v>142</v>
      </c>
      <c r="I64" s="38">
        <f>IF(AND(sat_working=TRUE,E64=6),ROUNDDOWN(AVERAGE('Data for 2021'!I58:I62),0),'Data for 2021'!I63)</f>
        <v>118</v>
      </c>
      <c r="J64" s="55">
        <f t="shared" si="4"/>
        <v>142</v>
      </c>
      <c r="K64" s="55">
        <f t="shared" si="9"/>
        <v>118</v>
      </c>
      <c r="L64" s="55">
        <f t="shared" si="10"/>
        <v>1</v>
      </c>
      <c r="M64" s="55">
        <f t="shared" si="5"/>
        <v>170</v>
      </c>
      <c r="N64" s="55">
        <f t="shared" si="6"/>
        <v>142</v>
      </c>
      <c r="O64" s="55">
        <f t="shared" si="7"/>
        <v>0</v>
      </c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</row>
    <row r="65" spans="1:54" x14ac:dyDescent="0.2">
      <c r="A65" s="31"/>
      <c r="B65" s="70">
        <v>46</v>
      </c>
      <c r="C65" s="51">
        <v>4</v>
      </c>
      <c r="D65" s="55">
        <v>4</v>
      </c>
      <c r="E65" s="37">
        <v>4</v>
      </c>
      <c r="F65" s="37">
        <f t="shared" si="8"/>
        <v>1</v>
      </c>
      <c r="G65" s="37" cm="1">
        <f t="array" ref="G65">IF(E65&lt;=INDEX($B$4:$B$17,C65),1,0)</f>
        <v>1</v>
      </c>
      <c r="H65" s="37">
        <f t="shared" si="3"/>
        <v>118</v>
      </c>
      <c r="I65" s="38">
        <f>IF(AND(sat_working=TRUE,E65=6),ROUNDDOWN(AVERAGE('Data for 2021'!I59:I63),0),'Data for 2021'!I64)</f>
        <v>141</v>
      </c>
      <c r="J65" s="55">
        <f t="shared" si="4"/>
        <v>118</v>
      </c>
      <c r="K65" s="55">
        <f t="shared" si="9"/>
        <v>141</v>
      </c>
      <c r="L65" s="55">
        <f t="shared" si="10"/>
        <v>1</v>
      </c>
      <c r="M65" s="55" t="str">
        <f t="shared" si="5"/>
        <v/>
      </c>
      <c r="N65" s="55">
        <f t="shared" si="6"/>
        <v>118</v>
      </c>
      <c r="O65" s="55">
        <f t="shared" si="7"/>
        <v>1</v>
      </c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</row>
    <row r="66" spans="1:54" x14ac:dyDescent="0.2">
      <c r="A66" s="31"/>
      <c r="B66" s="67">
        <v>47</v>
      </c>
      <c r="C66" s="51">
        <v>4</v>
      </c>
      <c r="D66" s="55">
        <v>5</v>
      </c>
      <c r="E66" s="37">
        <v>5</v>
      </c>
      <c r="F66" s="37">
        <f t="shared" si="8"/>
        <v>1</v>
      </c>
      <c r="G66" s="37" cm="1">
        <f t="array" ref="G66">IF(E66&lt;=INDEX($B$4:$B$17,C66),1,0)</f>
        <v>0</v>
      </c>
      <c r="H66" s="37">
        <f t="shared" si="3"/>
        <v>0</v>
      </c>
      <c r="I66" s="38">
        <f>IF(AND(sat_working=TRUE,E66=6),ROUNDDOWN(AVERAGE('Data for 2021'!I60:I64),0),'Data for 2021'!I65)</f>
        <v>113</v>
      </c>
      <c r="J66" s="55">
        <f t="shared" si="4"/>
        <v>141</v>
      </c>
      <c r="K66" s="55">
        <f t="shared" si="9"/>
        <v>254</v>
      </c>
      <c r="L66" s="55">
        <f t="shared" si="10"/>
        <v>0</v>
      </c>
      <c r="M66" s="55" t="str">
        <f t="shared" si="5"/>
        <v/>
      </c>
      <c r="N66" s="55" t="str">
        <f t="shared" si="6"/>
        <v/>
      </c>
      <c r="O66" s="55">
        <f t="shared" si="7"/>
        <v>1</v>
      </c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</row>
    <row r="67" spans="1:54" x14ac:dyDescent="0.2">
      <c r="A67" s="31"/>
      <c r="B67" s="70">
        <v>48</v>
      </c>
      <c r="C67" s="51">
        <v>4</v>
      </c>
      <c r="D67" s="55">
        <v>6</v>
      </c>
      <c r="E67" s="37">
        <v>6</v>
      </c>
      <c r="F67" s="37">
        <f t="shared" si="8"/>
        <v>1</v>
      </c>
      <c r="G67" s="37" cm="1">
        <f t="array" ref="G67">IF(E67&lt;=INDEX($B$4:$B$17,C67),1,0)</f>
        <v>0</v>
      </c>
      <c r="H67" s="37">
        <f t="shared" si="3"/>
        <v>0</v>
      </c>
      <c r="I67" s="38">
        <f>IF(AND(sat_working=TRUE,E67=6),ROUNDDOWN(AVERAGE('Data for 2021'!I61:I65,'Data for 2021'!I68:I72),0),'Data for 2021'!I66)</f>
        <v>115</v>
      </c>
      <c r="J67" s="55">
        <f t="shared" si="4"/>
        <v>254</v>
      </c>
      <c r="K67" s="55">
        <f t="shared" si="9"/>
        <v>369</v>
      </c>
      <c r="L67" s="55">
        <f t="shared" si="10"/>
        <v>0</v>
      </c>
      <c r="M67" s="55" t="str">
        <f t="shared" si="5"/>
        <v/>
      </c>
      <c r="N67" s="55" t="str">
        <f t="shared" si="6"/>
        <v/>
      </c>
      <c r="O67" s="55">
        <f t="shared" si="7"/>
        <v>1</v>
      </c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</row>
    <row r="68" spans="1:54" x14ac:dyDescent="0.2">
      <c r="A68" s="31"/>
      <c r="B68" s="67">
        <v>49</v>
      </c>
      <c r="C68" s="51">
        <v>4</v>
      </c>
      <c r="D68" s="55">
        <v>7</v>
      </c>
      <c r="E68" s="37">
        <v>7</v>
      </c>
      <c r="F68" s="37">
        <f t="shared" si="8"/>
        <v>0</v>
      </c>
      <c r="G68" s="37" cm="1">
        <f t="array" ref="G68">IF(E68&lt;=INDEX($B$4:$B$17,C68),1,0)</f>
        <v>0</v>
      </c>
      <c r="H68" s="37">
        <f t="shared" si="3"/>
        <v>0</v>
      </c>
      <c r="I68" s="38">
        <f>IF(AND(sat_working=TRUE,E68=6),ROUNDDOWN(AVERAGE('Data for 2021'!I62:I66),0),'Data for 2021'!I67)</f>
        <v>0</v>
      </c>
      <c r="J68" s="55">
        <f t="shared" si="4"/>
        <v>369</v>
      </c>
      <c r="K68" s="55">
        <f t="shared" si="9"/>
        <v>369</v>
      </c>
      <c r="L68" s="55">
        <f t="shared" si="10"/>
        <v>0</v>
      </c>
      <c r="M68" s="55" t="str">
        <f t="shared" si="5"/>
        <v/>
      </c>
      <c r="N68" s="55" t="str">
        <f t="shared" si="6"/>
        <v/>
      </c>
      <c r="O68" s="55">
        <f t="shared" si="7"/>
        <v>0</v>
      </c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</row>
    <row r="69" spans="1:54" x14ac:dyDescent="0.2">
      <c r="A69" s="31"/>
      <c r="B69" s="70">
        <v>50</v>
      </c>
      <c r="C69" s="51">
        <v>4</v>
      </c>
      <c r="D69" s="55">
        <v>8</v>
      </c>
      <c r="E69" s="35">
        <v>1</v>
      </c>
      <c r="F69" s="35">
        <f t="shared" si="8"/>
        <v>1</v>
      </c>
      <c r="G69" s="37" cm="1">
        <f t="array" ref="G69">IF(E69&lt;=INDEX($B$4:$B$17,C69),1,0)</f>
        <v>1</v>
      </c>
      <c r="H69" s="37">
        <f t="shared" si="3"/>
        <v>170</v>
      </c>
      <c r="I69" s="38">
        <f>IF(AND(sat_working=TRUE,E69=6),ROUNDDOWN(AVERAGE('Data for 2021'!I63:I67),0),'Data for 2021'!I68)</f>
        <v>93</v>
      </c>
      <c r="J69" s="55">
        <f t="shared" si="4"/>
        <v>369</v>
      </c>
      <c r="K69" s="55">
        <f t="shared" si="9"/>
        <v>292</v>
      </c>
      <c r="L69" s="55">
        <f t="shared" si="10"/>
        <v>0</v>
      </c>
      <c r="M69" s="55" t="str">
        <f t="shared" si="5"/>
        <v/>
      </c>
      <c r="N69" s="55" t="str">
        <f t="shared" si="6"/>
        <v/>
      </c>
      <c r="O69" s="55">
        <f t="shared" si="7"/>
        <v>0</v>
      </c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</row>
    <row r="70" spans="1:54" x14ac:dyDescent="0.2">
      <c r="A70" s="31"/>
      <c r="B70" s="67">
        <v>51</v>
      </c>
      <c r="C70" s="51">
        <v>4</v>
      </c>
      <c r="D70" s="55">
        <v>9</v>
      </c>
      <c r="E70" s="37">
        <v>2</v>
      </c>
      <c r="F70" s="37">
        <f t="shared" si="8"/>
        <v>1</v>
      </c>
      <c r="G70" s="37" cm="1">
        <f t="array" ref="G70">IF(E70&lt;=INDEX($B$4:$B$17,C70),1,0)</f>
        <v>1</v>
      </c>
      <c r="H70" s="37">
        <f t="shared" si="3"/>
        <v>170</v>
      </c>
      <c r="I70" s="38">
        <f>IF(AND(sat_working=TRUE,E70=6),ROUNDDOWN(AVERAGE('Data for 2021'!I64:I68),0),'Data for 2021'!I69)</f>
        <v>151</v>
      </c>
      <c r="J70" s="55">
        <f t="shared" si="4"/>
        <v>292</v>
      </c>
      <c r="K70" s="55">
        <f t="shared" si="9"/>
        <v>273</v>
      </c>
      <c r="L70" s="55">
        <f t="shared" si="10"/>
        <v>0</v>
      </c>
      <c r="M70" s="55">
        <f t="shared" si="5"/>
        <v>170</v>
      </c>
      <c r="N70" s="55" t="str">
        <f t="shared" si="6"/>
        <v/>
      </c>
      <c r="O70" s="55">
        <f t="shared" si="7"/>
        <v>0</v>
      </c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</row>
    <row r="71" spans="1:54" x14ac:dyDescent="0.2">
      <c r="A71" s="31"/>
      <c r="B71" s="70">
        <v>52</v>
      </c>
      <c r="C71" s="51">
        <v>4</v>
      </c>
      <c r="D71" s="55">
        <v>10</v>
      </c>
      <c r="E71" s="37">
        <v>3</v>
      </c>
      <c r="F71" s="37">
        <f t="shared" si="8"/>
        <v>1</v>
      </c>
      <c r="G71" s="37" cm="1">
        <f t="array" ref="G71">IF(E71&lt;=INDEX($B$4:$B$17,C71),1,0)</f>
        <v>1</v>
      </c>
      <c r="H71" s="37">
        <f t="shared" si="3"/>
        <v>170</v>
      </c>
      <c r="I71" s="38">
        <f>IF(AND(sat_working=TRUE,E71=6),ROUNDDOWN(AVERAGE('Data for 2021'!I65:I69),0),'Data for 2021'!I70)</f>
        <v>131</v>
      </c>
      <c r="J71" s="55">
        <f t="shared" si="4"/>
        <v>273</v>
      </c>
      <c r="K71" s="55">
        <f t="shared" si="9"/>
        <v>234</v>
      </c>
      <c r="L71" s="55">
        <f t="shared" si="10"/>
        <v>0</v>
      </c>
      <c r="M71" s="55">
        <f t="shared" si="5"/>
        <v>170</v>
      </c>
      <c r="N71" s="55" t="str">
        <f t="shared" si="6"/>
        <v/>
      </c>
      <c r="O71" s="55">
        <f t="shared" si="7"/>
        <v>0</v>
      </c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</row>
    <row r="72" spans="1:54" x14ac:dyDescent="0.2">
      <c r="A72" s="31"/>
      <c r="B72" s="67">
        <v>53</v>
      </c>
      <c r="C72" s="51">
        <v>4</v>
      </c>
      <c r="D72" s="55">
        <v>11</v>
      </c>
      <c r="E72" s="37">
        <v>4</v>
      </c>
      <c r="F72" s="37">
        <f t="shared" si="8"/>
        <v>1</v>
      </c>
      <c r="G72" s="37" cm="1">
        <f t="array" ref="G72">IF(E72&lt;=INDEX($B$4:$B$17,C72),1,0)</f>
        <v>1</v>
      </c>
      <c r="H72" s="37">
        <f t="shared" si="3"/>
        <v>170</v>
      </c>
      <c r="I72" s="38">
        <f>IF(AND(sat_working=TRUE,E72=6),ROUNDDOWN(AVERAGE('Data for 2021'!I66:I70),0),'Data for 2021'!I71)</f>
        <v>125</v>
      </c>
      <c r="J72" s="55">
        <f t="shared" si="4"/>
        <v>234</v>
      </c>
      <c r="K72" s="55">
        <f t="shared" si="9"/>
        <v>189</v>
      </c>
      <c r="L72" s="55">
        <f t="shared" si="10"/>
        <v>0</v>
      </c>
      <c r="M72" s="55">
        <f t="shared" si="5"/>
        <v>170</v>
      </c>
      <c r="N72" s="55" t="str">
        <f t="shared" si="6"/>
        <v/>
      </c>
      <c r="O72" s="55">
        <f t="shared" si="7"/>
        <v>0</v>
      </c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</row>
    <row r="73" spans="1:54" x14ac:dyDescent="0.2">
      <c r="A73" s="31"/>
      <c r="B73" s="70">
        <v>54</v>
      </c>
      <c r="C73" s="51">
        <v>4</v>
      </c>
      <c r="D73" s="55">
        <v>12</v>
      </c>
      <c r="E73" s="37">
        <v>5</v>
      </c>
      <c r="F73" s="37">
        <f t="shared" si="8"/>
        <v>1</v>
      </c>
      <c r="G73" s="37" cm="1">
        <f t="array" ref="G73">IF(E73&lt;=INDEX($B$4:$B$17,C73),1,0)</f>
        <v>0</v>
      </c>
      <c r="H73" s="37">
        <f t="shared" si="3"/>
        <v>0</v>
      </c>
      <c r="I73" s="38">
        <f>IF(AND(sat_working=TRUE,E73=6),ROUNDDOWN(AVERAGE('Data for 2021'!I67:I71),0),'Data for 2021'!I72)</f>
        <v>99</v>
      </c>
      <c r="J73" s="55">
        <f t="shared" si="4"/>
        <v>189</v>
      </c>
      <c r="K73" s="55">
        <f t="shared" si="9"/>
        <v>288</v>
      </c>
      <c r="L73" s="55">
        <f t="shared" si="10"/>
        <v>0</v>
      </c>
      <c r="M73" s="55">
        <f t="shared" si="5"/>
        <v>170</v>
      </c>
      <c r="N73" s="55" t="str">
        <f t="shared" si="6"/>
        <v/>
      </c>
      <c r="O73" s="55">
        <f t="shared" si="7"/>
        <v>1</v>
      </c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</row>
    <row r="74" spans="1:54" x14ac:dyDescent="0.2">
      <c r="A74" s="31"/>
      <c r="B74" s="67">
        <v>55</v>
      </c>
      <c r="C74" s="51">
        <v>4</v>
      </c>
      <c r="D74" s="55">
        <v>13</v>
      </c>
      <c r="E74" s="37">
        <v>6</v>
      </c>
      <c r="F74" s="37">
        <f t="shared" si="8"/>
        <v>1</v>
      </c>
      <c r="G74" s="37" cm="1">
        <f t="array" ref="G74">IF(E74&lt;=INDEX($B$4:$B$17,C74),1,0)</f>
        <v>0</v>
      </c>
      <c r="H74" s="37">
        <f t="shared" si="3"/>
        <v>0</v>
      </c>
      <c r="I74" s="38">
        <f>I67</f>
        <v>115</v>
      </c>
      <c r="J74" s="55">
        <f t="shared" si="4"/>
        <v>288</v>
      </c>
      <c r="K74" s="55">
        <f t="shared" si="9"/>
        <v>403</v>
      </c>
      <c r="L74" s="55">
        <f t="shared" si="10"/>
        <v>0</v>
      </c>
      <c r="M74" s="55" t="str">
        <f t="shared" si="5"/>
        <v/>
      </c>
      <c r="N74" s="55" t="str">
        <f t="shared" si="6"/>
        <v/>
      </c>
      <c r="O74" s="55">
        <f t="shared" si="7"/>
        <v>1</v>
      </c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</row>
    <row r="75" spans="1:54" x14ac:dyDescent="0.2">
      <c r="A75" s="31"/>
      <c r="B75" s="70">
        <v>56</v>
      </c>
      <c r="C75" s="52">
        <v>4</v>
      </c>
      <c r="D75" s="57">
        <v>14</v>
      </c>
      <c r="E75" s="37">
        <v>7</v>
      </c>
      <c r="F75" s="37">
        <f t="shared" si="8"/>
        <v>0</v>
      </c>
      <c r="G75" s="37" cm="1">
        <f t="array" ref="G75">IF(E75&lt;=INDEX($B$4:$B$17,C75),1,0)</f>
        <v>0</v>
      </c>
      <c r="H75" s="37">
        <f t="shared" si="3"/>
        <v>0</v>
      </c>
      <c r="I75" s="38">
        <f>IF(AND(sat_working=TRUE,E75=6),ROUNDDOWN(AVERAGE('Data for 2021'!I69:I73),0),'Data for 2021'!I74)</f>
        <v>0</v>
      </c>
      <c r="J75" s="55">
        <f t="shared" si="4"/>
        <v>403</v>
      </c>
      <c r="K75" s="55">
        <f t="shared" si="9"/>
        <v>403</v>
      </c>
      <c r="L75" s="55">
        <f t="shared" si="10"/>
        <v>0</v>
      </c>
      <c r="M75" s="55" t="str">
        <f t="shared" si="5"/>
        <v/>
      </c>
      <c r="N75" s="55" t="str">
        <f t="shared" si="6"/>
        <v/>
      </c>
      <c r="O75" s="55">
        <f t="shared" si="7"/>
        <v>0</v>
      </c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</row>
    <row r="76" spans="1:54" x14ac:dyDescent="0.2">
      <c r="A76" s="31" t="s">
        <v>96</v>
      </c>
      <c r="B76" s="67">
        <v>57</v>
      </c>
      <c r="C76" s="50">
        <v>5</v>
      </c>
      <c r="D76" s="53">
        <v>1</v>
      </c>
      <c r="E76" s="35">
        <v>1</v>
      </c>
      <c r="F76" s="35">
        <f t="shared" si="8"/>
        <v>1</v>
      </c>
      <c r="G76" s="35" cm="1">
        <f t="array" ref="G76">IF(E76&lt;=INDEX($B$4:$B$17,C76),1,0)</f>
        <v>1</v>
      </c>
      <c r="H76" s="37">
        <f t="shared" si="3"/>
        <v>170</v>
      </c>
      <c r="I76" s="38">
        <f>IF(AND(sat_working=TRUE,E76=6),ROUNDDOWN(AVERAGE('Data for 2021'!I70:I74),0),'Data for 2021'!I75)</f>
        <v>125</v>
      </c>
      <c r="J76" s="55">
        <f t="shared" si="4"/>
        <v>403</v>
      </c>
      <c r="K76" s="55">
        <f t="shared" si="9"/>
        <v>358</v>
      </c>
      <c r="L76" s="55">
        <f t="shared" si="10"/>
        <v>0</v>
      </c>
      <c r="M76" s="55" t="str">
        <f t="shared" si="5"/>
        <v/>
      </c>
      <c r="N76" s="55" t="str">
        <f t="shared" si="6"/>
        <v/>
      </c>
      <c r="O76" s="55">
        <f t="shared" si="7"/>
        <v>0</v>
      </c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</row>
    <row r="77" spans="1:54" x14ac:dyDescent="0.2">
      <c r="A77" s="31"/>
      <c r="B77" s="70">
        <v>58</v>
      </c>
      <c r="C77" s="51">
        <v>5</v>
      </c>
      <c r="D77" s="55">
        <v>2</v>
      </c>
      <c r="E77" s="37">
        <v>2</v>
      </c>
      <c r="F77" s="37">
        <f t="shared" si="8"/>
        <v>1</v>
      </c>
      <c r="G77" s="37" cm="1">
        <f t="array" ref="G77">IF(E77&lt;=INDEX($B$4:$B$17,C77),1,0)</f>
        <v>1</v>
      </c>
      <c r="H77" s="37">
        <f t="shared" si="3"/>
        <v>170</v>
      </c>
      <c r="I77" s="38">
        <f>IF(AND(sat_working=TRUE,E77=6),ROUNDDOWN(AVERAGE('Data for 2021'!I71:I75),0),'Data for 2021'!I76)</f>
        <v>95</v>
      </c>
      <c r="J77" s="55">
        <f t="shared" si="4"/>
        <v>358</v>
      </c>
      <c r="K77" s="55">
        <f t="shared" si="9"/>
        <v>283</v>
      </c>
      <c r="L77" s="55">
        <f t="shared" si="10"/>
        <v>0</v>
      </c>
      <c r="M77" s="55">
        <f t="shared" si="5"/>
        <v>170</v>
      </c>
      <c r="N77" s="55" t="str">
        <f t="shared" si="6"/>
        <v/>
      </c>
      <c r="O77" s="55">
        <f t="shared" si="7"/>
        <v>0</v>
      </c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</row>
    <row r="78" spans="1:54" x14ac:dyDescent="0.2">
      <c r="A78" s="31"/>
      <c r="B78" s="67">
        <v>59</v>
      </c>
      <c r="C78" s="51">
        <v>5</v>
      </c>
      <c r="D78" s="55">
        <v>3</v>
      </c>
      <c r="E78" s="37">
        <v>3</v>
      </c>
      <c r="F78" s="37">
        <f t="shared" si="8"/>
        <v>1</v>
      </c>
      <c r="G78" s="37" cm="1">
        <f t="array" ref="G78">IF(E78&lt;=INDEX($B$4:$B$17,C78),1,0)</f>
        <v>1</v>
      </c>
      <c r="H78" s="37">
        <f t="shared" si="3"/>
        <v>170</v>
      </c>
      <c r="I78" s="38">
        <f>IF(AND(sat_working=TRUE,E78=6),ROUNDDOWN(AVERAGE('Data for 2021'!I72:I76),0),'Data for 2021'!I77)</f>
        <v>119</v>
      </c>
      <c r="J78" s="55">
        <f t="shared" si="4"/>
        <v>283</v>
      </c>
      <c r="K78" s="55">
        <f t="shared" si="9"/>
        <v>232</v>
      </c>
      <c r="L78" s="55">
        <f t="shared" si="10"/>
        <v>0</v>
      </c>
      <c r="M78" s="55">
        <f t="shared" si="5"/>
        <v>170</v>
      </c>
      <c r="N78" s="55" t="str">
        <f t="shared" si="6"/>
        <v/>
      </c>
      <c r="O78" s="55">
        <f t="shared" si="7"/>
        <v>0</v>
      </c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</row>
    <row r="79" spans="1:54" x14ac:dyDescent="0.2">
      <c r="A79" s="31"/>
      <c r="B79" s="70">
        <v>60</v>
      </c>
      <c r="C79" s="51">
        <v>5</v>
      </c>
      <c r="D79" s="55">
        <v>4</v>
      </c>
      <c r="E79" s="37">
        <v>4</v>
      </c>
      <c r="F79" s="37">
        <f t="shared" si="8"/>
        <v>1</v>
      </c>
      <c r="G79" s="37" cm="1">
        <f t="array" ref="G79">IF(E79&lt;=INDEX($B$4:$B$17,C79),1,0)</f>
        <v>1</v>
      </c>
      <c r="H79" s="37">
        <f t="shared" si="3"/>
        <v>170</v>
      </c>
      <c r="I79" s="38">
        <f>IF(AND(sat_working=TRUE,E79=6),ROUNDDOWN(AVERAGE('Data for 2021'!I73:I77),0),'Data for 2021'!I78)</f>
        <v>126</v>
      </c>
      <c r="J79" s="55">
        <f t="shared" si="4"/>
        <v>232</v>
      </c>
      <c r="K79" s="55">
        <f t="shared" si="9"/>
        <v>188</v>
      </c>
      <c r="L79" s="55">
        <f t="shared" si="10"/>
        <v>0</v>
      </c>
      <c r="M79" s="55">
        <f t="shared" si="5"/>
        <v>170</v>
      </c>
      <c r="N79" s="55" t="str">
        <f t="shared" si="6"/>
        <v/>
      </c>
      <c r="O79" s="55">
        <f t="shared" si="7"/>
        <v>0</v>
      </c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</row>
    <row r="80" spans="1:54" x14ac:dyDescent="0.2">
      <c r="A80" s="31"/>
      <c r="B80" s="67">
        <v>61</v>
      </c>
      <c r="C80" s="51">
        <v>5</v>
      </c>
      <c r="D80" s="55">
        <v>5</v>
      </c>
      <c r="E80" s="37">
        <v>5</v>
      </c>
      <c r="F80" s="37">
        <f t="shared" si="8"/>
        <v>1</v>
      </c>
      <c r="G80" s="37" cm="1">
        <f t="array" ref="G80">IF(E80&lt;=INDEX($B$4:$B$17,C80),1,0)</f>
        <v>1</v>
      </c>
      <c r="H80" s="37">
        <f t="shared" si="3"/>
        <v>170</v>
      </c>
      <c r="I80" s="38">
        <f>IF(AND(sat_working=TRUE,E80=6),ROUNDDOWN(AVERAGE('Data for 2021'!I74:I78),0),'Data for 2021'!I79)</f>
        <v>108</v>
      </c>
      <c r="J80" s="55">
        <f t="shared" si="4"/>
        <v>188</v>
      </c>
      <c r="K80" s="55">
        <f t="shared" si="9"/>
        <v>126</v>
      </c>
      <c r="L80" s="55">
        <f t="shared" si="10"/>
        <v>0</v>
      </c>
      <c r="M80" s="55">
        <f t="shared" si="5"/>
        <v>170</v>
      </c>
      <c r="N80" s="55" t="str">
        <f t="shared" si="6"/>
        <v/>
      </c>
      <c r="O80" s="55">
        <f t="shared" si="7"/>
        <v>0</v>
      </c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</row>
    <row r="81" spans="1:54" x14ac:dyDescent="0.2">
      <c r="A81" s="31"/>
      <c r="B81" s="70">
        <v>62</v>
      </c>
      <c r="C81" s="51">
        <v>5</v>
      </c>
      <c r="D81" s="55">
        <v>6</v>
      </c>
      <c r="E81" s="37">
        <v>6</v>
      </c>
      <c r="F81" s="37">
        <f t="shared" si="8"/>
        <v>1</v>
      </c>
      <c r="G81" s="37" cm="1">
        <f t="array" ref="G81">IF(E81&lt;=INDEX($B$4:$B$17,C81),1,0)</f>
        <v>0</v>
      </c>
      <c r="H81" s="37">
        <f t="shared" si="3"/>
        <v>0</v>
      </c>
      <c r="I81" s="38">
        <f>IF(AND(sat_working=TRUE,E81=6),ROUNDDOWN(AVERAGE('Data for 2021'!I75:I79,'Data for 2021'!I82:I86),0),'Data for 2021'!I80)</f>
        <v>139</v>
      </c>
      <c r="J81" s="55">
        <f t="shared" si="4"/>
        <v>126</v>
      </c>
      <c r="K81" s="55">
        <f t="shared" si="9"/>
        <v>265</v>
      </c>
      <c r="L81" s="55">
        <f t="shared" si="10"/>
        <v>0</v>
      </c>
      <c r="M81" s="55">
        <f t="shared" si="5"/>
        <v>170</v>
      </c>
      <c r="N81" s="55" t="str">
        <f t="shared" si="6"/>
        <v/>
      </c>
      <c r="O81" s="55">
        <f t="shared" si="7"/>
        <v>1</v>
      </c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</row>
    <row r="82" spans="1:54" x14ac:dyDescent="0.2">
      <c r="A82" s="31"/>
      <c r="B82" s="67">
        <v>63</v>
      </c>
      <c r="C82" s="51">
        <v>5</v>
      </c>
      <c r="D82" s="55">
        <v>7</v>
      </c>
      <c r="E82" s="37">
        <v>7</v>
      </c>
      <c r="F82" s="37">
        <f t="shared" si="8"/>
        <v>0</v>
      </c>
      <c r="G82" s="37" cm="1">
        <f t="array" ref="G82">IF(E82&lt;=INDEX($B$4:$B$17,C82),1,0)</f>
        <v>0</v>
      </c>
      <c r="H82" s="37">
        <f t="shared" si="3"/>
        <v>0</v>
      </c>
      <c r="I82" s="38">
        <f>IF(AND(sat_working=TRUE,E82=6),ROUNDDOWN(AVERAGE('Data for 2021'!I76:I80),0),'Data for 2021'!I81)</f>
        <v>0</v>
      </c>
      <c r="J82" s="55">
        <f t="shared" si="4"/>
        <v>265</v>
      </c>
      <c r="K82" s="55">
        <f t="shared" si="9"/>
        <v>265</v>
      </c>
      <c r="L82" s="55">
        <f t="shared" si="10"/>
        <v>0</v>
      </c>
      <c r="M82" s="55" t="str">
        <f t="shared" si="5"/>
        <v/>
      </c>
      <c r="N82" s="55" t="str">
        <f t="shared" si="6"/>
        <v/>
      </c>
      <c r="O82" s="55">
        <f t="shared" si="7"/>
        <v>0</v>
      </c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</row>
    <row r="83" spans="1:54" x14ac:dyDescent="0.2">
      <c r="A83" s="31"/>
      <c r="B83" s="70">
        <v>64</v>
      </c>
      <c r="C83" s="51">
        <v>5</v>
      </c>
      <c r="D83" s="55">
        <v>8</v>
      </c>
      <c r="E83" s="35">
        <v>1</v>
      </c>
      <c r="F83" s="35">
        <f t="shared" si="8"/>
        <v>1</v>
      </c>
      <c r="G83" s="37" cm="1">
        <f t="array" ref="G83">IF(E83&lt;=INDEX($B$4:$B$17,C83),1,0)</f>
        <v>1</v>
      </c>
      <c r="H83" s="37">
        <f t="shared" si="3"/>
        <v>170</v>
      </c>
      <c r="I83" s="38">
        <f>IF(AND(sat_working=TRUE,E83=6),ROUNDDOWN(AVERAGE('Data for 2021'!I77:I81),0),'Data for 2021'!I82)</f>
        <v>168</v>
      </c>
      <c r="J83" s="55">
        <f t="shared" si="4"/>
        <v>265</v>
      </c>
      <c r="K83" s="55">
        <f t="shared" si="9"/>
        <v>263</v>
      </c>
      <c r="L83" s="55">
        <f t="shared" si="10"/>
        <v>0</v>
      </c>
      <c r="M83" s="55" t="str">
        <f t="shared" si="5"/>
        <v/>
      </c>
      <c r="N83" s="55" t="str">
        <f t="shared" si="6"/>
        <v/>
      </c>
      <c r="O83" s="55">
        <f t="shared" si="7"/>
        <v>0</v>
      </c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</row>
    <row r="84" spans="1:54" x14ac:dyDescent="0.2">
      <c r="A84" s="31"/>
      <c r="B84" s="67">
        <v>65</v>
      </c>
      <c r="C84" s="51">
        <v>5</v>
      </c>
      <c r="D84" s="55">
        <v>9</v>
      </c>
      <c r="E84" s="37">
        <v>2</v>
      </c>
      <c r="F84" s="37">
        <f t="shared" ref="F84:F115" si="11">IF(OR(I84&lt;&gt;0,(AND(sat_working=TRUE,E84=6))),1,0)</f>
        <v>1</v>
      </c>
      <c r="G84" s="37" cm="1">
        <f t="array" ref="G84">IF(E84&lt;=INDEX($B$4:$B$17,C84),1,0)</f>
        <v>1</v>
      </c>
      <c r="H84" s="37">
        <f t="shared" si="3"/>
        <v>170</v>
      </c>
      <c r="I84" s="38">
        <f>IF(AND(sat_working=TRUE,E84=6),ROUNDDOWN(AVERAGE('Data for 2021'!I78:I82),0),'Data for 2021'!I83)</f>
        <v>160</v>
      </c>
      <c r="J84" s="55">
        <f t="shared" si="4"/>
        <v>263</v>
      </c>
      <c r="K84" s="55">
        <f t="shared" ref="K84:K115" si="12">J84+I84-H84</f>
        <v>253</v>
      </c>
      <c r="L84" s="55">
        <f t="shared" si="10"/>
        <v>0</v>
      </c>
      <c r="M84" s="55">
        <f t="shared" si="5"/>
        <v>170</v>
      </c>
      <c r="N84" s="55" t="str">
        <f t="shared" si="6"/>
        <v/>
      </c>
      <c r="O84" s="55">
        <f t="shared" si="7"/>
        <v>0</v>
      </c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</row>
    <row r="85" spans="1:54" x14ac:dyDescent="0.2">
      <c r="A85" s="31"/>
      <c r="B85" s="70">
        <v>66</v>
      </c>
      <c r="C85" s="51">
        <v>5</v>
      </c>
      <c r="D85" s="55">
        <v>10</v>
      </c>
      <c r="E85" s="37">
        <v>3</v>
      </c>
      <c r="F85" s="37">
        <f t="shared" si="11"/>
        <v>1</v>
      </c>
      <c r="G85" s="37" cm="1">
        <f t="array" ref="G85">IF(E85&lt;=INDEX($B$4:$B$17,C85),1,0)</f>
        <v>1</v>
      </c>
      <c r="H85" s="37">
        <f t="shared" si="3"/>
        <v>170</v>
      </c>
      <c r="I85" s="38">
        <f>IF(AND(sat_working=TRUE,E85=6),ROUNDDOWN(AVERAGE('Data for 2021'!I79:I83),0),'Data for 2021'!I84)</f>
        <v>172</v>
      </c>
      <c r="J85" s="55">
        <f t="shared" si="4"/>
        <v>253</v>
      </c>
      <c r="K85" s="55">
        <f t="shared" si="12"/>
        <v>255</v>
      </c>
      <c r="L85" s="55">
        <f t="shared" ref="L85:L116" si="13">IF(AND(H85=J85,G85),1,0)</f>
        <v>0</v>
      </c>
      <c r="M85" s="55">
        <f t="shared" si="5"/>
        <v>170</v>
      </c>
      <c r="N85" s="55" t="str">
        <f t="shared" si="6"/>
        <v/>
      </c>
      <c r="O85" s="55">
        <f t="shared" si="7"/>
        <v>1</v>
      </c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</row>
    <row r="86" spans="1:54" x14ac:dyDescent="0.2">
      <c r="A86" s="31"/>
      <c r="B86" s="67">
        <v>67</v>
      </c>
      <c r="C86" s="51">
        <v>5</v>
      </c>
      <c r="D86" s="55">
        <v>11</v>
      </c>
      <c r="E86" s="37">
        <v>4</v>
      </c>
      <c r="F86" s="37">
        <f t="shared" si="11"/>
        <v>1</v>
      </c>
      <c r="G86" s="37" cm="1">
        <f t="array" ref="G86">IF(E86&lt;=INDEX($B$4:$B$17,C86),1,0)</f>
        <v>1</v>
      </c>
      <c r="H86" s="37">
        <f t="shared" ref="H86:H149" si="14">IF(G86=1,MIN(J86,$H$12),0)</f>
        <v>170</v>
      </c>
      <c r="I86" s="38">
        <f>IF(AND(sat_working=TRUE,E86=6),ROUNDDOWN(AVERAGE('Data for 2021'!I80:I84),0),'Data for 2021'!I85)</f>
        <v>178</v>
      </c>
      <c r="J86" s="55">
        <f t="shared" ref="J86:J149" si="15">K85</f>
        <v>255</v>
      </c>
      <c r="K86" s="55">
        <f t="shared" si="12"/>
        <v>263</v>
      </c>
      <c r="L86" s="55">
        <f t="shared" si="13"/>
        <v>0</v>
      </c>
      <c r="M86" s="55">
        <f t="shared" ref="M86:M149" si="16">IF(OR(G85=0,L85=1),"",H85)</f>
        <v>170</v>
      </c>
      <c r="N86" s="55" t="str">
        <f t="shared" ref="N86:N149" si="17">IF(AND(G86=1,L86=1),H86,"")</f>
        <v/>
      </c>
      <c r="O86" s="55">
        <f t="shared" ref="O86:O149" si="18">IF(AND(K86&gt;K85,F86=1),1,0)</f>
        <v>1</v>
      </c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</row>
    <row r="87" spans="1:54" x14ac:dyDescent="0.2">
      <c r="A87" s="31"/>
      <c r="B87" s="70">
        <v>68</v>
      </c>
      <c r="C87" s="51">
        <v>5</v>
      </c>
      <c r="D87" s="55">
        <v>12</v>
      </c>
      <c r="E87" s="37">
        <v>5</v>
      </c>
      <c r="F87" s="37">
        <f t="shared" si="11"/>
        <v>1</v>
      </c>
      <c r="G87" s="37" cm="1">
        <f t="array" ref="G87">IF(E87&lt;=INDEX($B$4:$B$17,C87),1,0)</f>
        <v>1</v>
      </c>
      <c r="H87" s="37">
        <f t="shared" si="14"/>
        <v>170</v>
      </c>
      <c r="I87" s="38">
        <f>IF(AND(sat_working=TRUE,E87=6),ROUNDDOWN(AVERAGE('Data for 2021'!I81:I85),0),'Data for 2021'!I86)</f>
        <v>144</v>
      </c>
      <c r="J87" s="55">
        <f t="shared" si="15"/>
        <v>263</v>
      </c>
      <c r="K87" s="55">
        <f t="shared" si="12"/>
        <v>237</v>
      </c>
      <c r="L87" s="55">
        <f t="shared" si="13"/>
        <v>0</v>
      </c>
      <c r="M87" s="55">
        <f t="shared" si="16"/>
        <v>170</v>
      </c>
      <c r="N87" s="55" t="str">
        <f t="shared" si="17"/>
        <v/>
      </c>
      <c r="O87" s="55">
        <f t="shared" si="18"/>
        <v>0</v>
      </c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</row>
    <row r="88" spans="1:54" x14ac:dyDescent="0.2">
      <c r="A88" s="31"/>
      <c r="B88" s="67">
        <v>69</v>
      </c>
      <c r="C88" s="51">
        <v>5</v>
      </c>
      <c r="D88" s="55">
        <v>13</v>
      </c>
      <c r="E88" s="37">
        <v>6</v>
      </c>
      <c r="F88" s="37">
        <f t="shared" si="11"/>
        <v>1</v>
      </c>
      <c r="G88" s="37" cm="1">
        <f t="array" ref="G88">IF(E88&lt;=INDEX($B$4:$B$17,C88),1,0)</f>
        <v>0</v>
      </c>
      <c r="H88" s="37">
        <f t="shared" si="14"/>
        <v>0</v>
      </c>
      <c r="I88" s="38">
        <f>I81</f>
        <v>139</v>
      </c>
      <c r="J88" s="55">
        <f t="shared" si="15"/>
        <v>237</v>
      </c>
      <c r="K88" s="55">
        <f t="shared" si="12"/>
        <v>376</v>
      </c>
      <c r="L88" s="55">
        <f t="shared" si="13"/>
        <v>0</v>
      </c>
      <c r="M88" s="55">
        <f t="shared" si="16"/>
        <v>170</v>
      </c>
      <c r="N88" s="55" t="str">
        <f t="shared" si="17"/>
        <v/>
      </c>
      <c r="O88" s="55">
        <f t="shared" si="18"/>
        <v>1</v>
      </c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</row>
    <row r="89" spans="1:54" x14ac:dyDescent="0.2">
      <c r="A89" s="31"/>
      <c r="B89" s="70">
        <v>70</v>
      </c>
      <c r="C89" s="52">
        <v>5</v>
      </c>
      <c r="D89" s="57">
        <v>14</v>
      </c>
      <c r="E89" s="37">
        <v>7</v>
      </c>
      <c r="F89" s="37">
        <f t="shared" si="11"/>
        <v>0</v>
      </c>
      <c r="G89" s="37" cm="1">
        <f t="array" ref="G89">IF(E89&lt;=INDEX($B$4:$B$17,C89),1,0)</f>
        <v>0</v>
      </c>
      <c r="H89" s="37">
        <f t="shared" si="14"/>
        <v>0</v>
      </c>
      <c r="I89" s="38">
        <f>IF(AND(sat_working=TRUE,E89=6),ROUNDDOWN(AVERAGE('Data for 2021'!I83:I87),0),'Data for 2021'!I88)</f>
        <v>0</v>
      </c>
      <c r="J89" s="55">
        <f t="shared" si="15"/>
        <v>376</v>
      </c>
      <c r="K89" s="55">
        <f t="shared" si="12"/>
        <v>376</v>
      </c>
      <c r="L89" s="55">
        <f t="shared" si="13"/>
        <v>0</v>
      </c>
      <c r="M89" s="55" t="str">
        <f t="shared" si="16"/>
        <v/>
      </c>
      <c r="N89" s="55" t="str">
        <f t="shared" si="17"/>
        <v/>
      </c>
      <c r="O89" s="55">
        <f t="shared" si="18"/>
        <v>0</v>
      </c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</row>
    <row r="90" spans="1:54" x14ac:dyDescent="0.2">
      <c r="A90" s="31" t="s">
        <v>95</v>
      </c>
      <c r="B90" s="67">
        <v>71</v>
      </c>
      <c r="C90" s="50">
        <v>6</v>
      </c>
      <c r="D90" s="53">
        <v>1</v>
      </c>
      <c r="E90" s="35">
        <v>1</v>
      </c>
      <c r="F90" s="35">
        <f t="shared" si="11"/>
        <v>1</v>
      </c>
      <c r="G90" s="35" cm="1">
        <f t="array" ref="G90">IF(E90&lt;=INDEX($B$4:$B$17,C90),1,0)</f>
        <v>1</v>
      </c>
      <c r="H90" s="37">
        <f t="shared" si="14"/>
        <v>170</v>
      </c>
      <c r="I90" s="38">
        <f>IF(AND(sat_working=TRUE,E90=6),ROUNDDOWN(AVERAGE('Data for 2021'!I84:I88),0),'Data for 2021'!I89)</f>
        <v>172</v>
      </c>
      <c r="J90" s="55">
        <f t="shared" si="15"/>
        <v>376</v>
      </c>
      <c r="K90" s="55">
        <f t="shared" si="12"/>
        <v>378</v>
      </c>
      <c r="L90" s="55">
        <f t="shared" si="13"/>
        <v>0</v>
      </c>
      <c r="M90" s="55" t="str">
        <f t="shared" si="16"/>
        <v/>
      </c>
      <c r="N90" s="55" t="str">
        <f t="shared" si="17"/>
        <v/>
      </c>
      <c r="O90" s="55">
        <f t="shared" si="18"/>
        <v>1</v>
      </c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</row>
    <row r="91" spans="1:54" x14ac:dyDescent="0.2">
      <c r="A91" s="31"/>
      <c r="B91" s="70">
        <v>72</v>
      </c>
      <c r="C91" s="51">
        <v>6</v>
      </c>
      <c r="D91" s="55">
        <v>2</v>
      </c>
      <c r="E91" s="37">
        <v>2</v>
      </c>
      <c r="F91" s="37">
        <f t="shared" si="11"/>
        <v>1</v>
      </c>
      <c r="G91" s="37" cm="1">
        <f t="array" ref="G91">IF(E91&lt;=INDEX($B$4:$B$17,C91),1,0)</f>
        <v>1</v>
      </c>
      <c r="H91" s="37">
        <f t="shared" si="14"/>
        <v>170</v>
      </c>
      <c r="I91" s="38">
        <f>IF(AND(sat_working=TRUE,E91=6),ROUNDDOWN(AVERAGE('Data for 2021'!I85:I89),0),'Data for 2021'!I90)</f>
        <v>168</v>
      </c>
      <c r="J91" s="55">
        <f t="shared" si="15"/>
        <v>378</v>
      </c>
      <c r="K91" s="55">
        <f t="shared" si="12"/>
        <v>376</v>
      </c>
      <c r="L91" s="55">
        <f t="shared" si="13"/>
        <v>0</v>
      </c>
      <c r="M91" s="55">
        <f t="shared" si="16"/>
        <v>170</v>
      </c>
      <c r="N91" s="55" t="str">
        <f t="shared" si="17"/>
        <v/>
      </c>
      <c r="O91" s="55">
        <f t="shared" si="18"/>
        <v>0</v>
      </c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</row>
    <row r="92" spans="1:54" x14ac:dyDescent="0.2">
      <c r="A92" s="31"/>
      <c r="B92" s="67">
        <v>73</v>
      </c>
      <c r="C92" s="51">
        <v>6</v>
      </c>
      <c r="D92" s="55">
        <v>3</v>
      </c>
      <c r="E92" s="37">
        <v>3</v>
      </c>
      <c r="F92" s="37">
        <f t="shared" si="11"/>
        <v>1</v>
      </c>
      <c r="G92" s="37" cm="1">
        <f t="array" ref="G92">IF(E92&lt;=INDEX($B$4:$B$17,C92),1,0)</f>
        <v>1</v>
      </c>
      <c r="H92" s="37">
        <f t="shared" si="14"/>
        <v>170</v>
      </c>
      <c r="I92" s="38">
        <f>IF(AND(sat_working=TRUE,E92=6),ROUNDDOWN(AVERAGE('Data for 2021'!I86:I90),0),'Data for 2021'!I91)</f>
        <v>123</v>
      </c>
      <c r="J92" s="55">
        <f t="shared" si="15"/>
        <v>376</v>
      </c>
      <c r="K92" s="55">
        <f t="shared" si="12"/>
        <v>329</v>
      </c>
      <c r="L92" s="55">
        <f t="shared" si="13"/>
        <v>0</v>
      </c>
      <c r="M92" s="55">
        <f t="shared" si="16"/>
        <v>170</v>
      </c>
      <c r="N92" s="55" t="str">
        <f t="shared" si="17"/>
        <v/>
      </c>
      <c r="O92" s="55">
        <f t="shared" si="18"/>
        <v>0</v>
      </c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</row>
    <row r="93" spans="1:54" x14ac:dyDescent="0.2">
      <c r="A93" s="31"/>
      <c r="B93" s="70">
        <v>74</v>
      </c>
      <c r="C93" s="51">
        <v>6</v>
      </c>
      <c r="D93" s="55">
        <v>4</v>
      </c>
      <c r="E93" s="37">
        <v>4</v>
      </c>
      <c r="F93" s="37">
        <f t="shared" si="11"/>
        <v>1</v>
      </c>
      <c r="G93" s="37" cm="1">
        <f t="array" ref="G93">IF(E93&lt;=INDEX($B$4:$B$17,C93),1,0)</f>
        <v>1</v>
      </c>
      <c r="H93" s="37">
        <f t="shared" si="14"/>
        <v>170</v>
      </c>
      <c r="I93" s="38">
        <f>IF(AND(sat_working=TRUE,E93=6),ROUNDDOWN(AVERAGE('Data for 2021'!I87:I91),0),'Data for 2021'!I92)</f>
        <v>162</v>
      </c>
      <c r="J93" s="55">
        <f t="shared" si="15"/>
        <v>329</v>
      </c>
      <c r="K93" s="55">
        <f t="shared" si="12"/>
        <v>321</v>
      </c>
      <c r="L93" s="55">
        <f t="shared" si="13"/>
        <v>0</v>
      </c>
      <c r="M93" s="55">
        <f t="shared" si="16"/>
        <v>170</v>
      </c>
      <c r="N93" s="55" t="str">
        <f t="shared" si="17"/>
        <v/>
      </c>
      <c r="O93" s="55">
        <f t="shared" si="18"/>
        <v>0</v>
      </c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</row>
    <row r="94" spans="1:54" x14ac:dyDescent="0.2">
      <c r="A94" s="31"/>
      <c r="B94" s="67">
        <v>75</v>
      </c>
      <c r="C94" s="51">
        <v>6</v>
      </c>
      <c r="D94" s="55">
        <v>5</v>
      </c>
      <c r="E94" s="37">
        <v>5</v>
      </c>
      <c r="F94" s="37">
        <f t="shared" si="11"/>
        <v>1</v>
      </c>
      <c r="G94" s="37" cm="1">
        <f t="array" ref="G94">IF(E94&lt;=INDEX($B$4:$B$17,C94),1,0)</f>
        <v>1</v>
      </c>
      <c r="H94" s="37">
        <f t="shared" si="14"/>
        <v>170</v>
      </c>
      <c r="I94" s="38">
        <f>IF(AND(sat_working=TRUE,E94=6),ROUNDDOWN(AVERAGE('Data for 2021'!I88:I92),0),'Data for 2021'!I93)</f>
        <v>119</v>
      </c>
      <c r="J94" s="55">
        <f t="shared" si="15"/>
        <v>321</v>
      </c>
      <c r="K94" s="55">
        <f t="shared" si="12"/>
        <v>270</v>
      </c>
      <c r="L94" s="55">
        <f t="shared" si="13"/>
        <v>0</v>
      </c>
      <c r="M94" s="55">
        <f t="shared" si="16"/>
        <v>170</v>
      </c>
      <c r="N94" s="55" t="str">
        <f t="shared" si="17"/>
        <v/>
      </c>
      <c r="O94" s="55">
        <f t="shared" si="18"/>
        <v>0</v>
      </c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</row>
    <row r="95" spans="1:54" x14ac:dyDescent="0.2">
      <c r="A95" s="31"/>
      <c r="B95" s="70">
        <v>76</v>
      </c>
      <c r="C95" s="51">
        <v>6</v>
      </c>
      <c r="D95" s="55">
        <v>6</v>
      </c>
      <c r="E95" s="37">
        <v>6</v>
      </c>
      <c r="F95" s="37">
        <f t="shared" si="11"/>
        <v>1</v>
      </c>
      <c r="G95" s="37" cm="1">
        <f t="array" ref="G95">IF(E95&lt;=INDEX($B$4:$B$17,C95),1,0)</f>
        <v>0</v>
      </c>
      <c r="H95" s="37">
        <f t="shared" si="14"/>
        <v>0</v>
      </c>
      <c r="I95" s="38">
        <f>IF(AND(sat_working=TRUE,E95=6),ROUNDDOWN(AVERAGE('Data for 2021'!I89:I93,'Data for 2021'!I96:I100),0),'Data for 2021'!I94)</f>
        <v>147</v>
      </c>
      <c r="J95" s="55">
        <f t="shared" si="15"/>
        <v>270</v>
      </c>
      <c r="K95" s="55">
        <f t="shared" si="12"/>
        <v>417</v>
      </c>
      <c r="L95" s="55">
        <f t="shared" si="13"/>
        <v>0</v>
      </c>
      <c r="M95" s="55">
        <f t="shared" si="16"/>
        <v>170</v>
      </c>
      <c r="N95" s="55" t="str">
        <f t="shared" si="17"/>
        <v/>
      </c>
      <c r="O95" s="55">
        <f t="shared" si="18"/>
        <v>1</v>
      </c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</row>
    <row r="96" spans="1:54" x14ac:dyDescent="0.2">
      <c r="A96" s="31"/>
      <c r="B96" s="67">
        <v>77</v>
      </c>
      <c r="C96" s="51">
        <v>6</v>
      </c>
      <c r="D96" s="55">
        <v>7</v>
      </c>
      <c r="E96" s="37">
        <v>7</v>
      </c>
      <c r="F96" s="37">
        <f t="shared" si="11"/>
        <v>0</v>
      </c>
      <c r="G96" s="37" cm="1">
        <f t="array" ref="G96">IF(E96&lt;=INDEX($B$4:$B$17,C96),1,0)</f>
        <v>0</v>
      </c>
      <c r="H96" s="37">
        <f t="shared" si="14"/>
        <v>0</v>
      </c>
      <c r="I96" s="38">
        <f>IF(AND(sat_working=TRUE,E96=6),ROUNDDOWN(AVERAGE('Data for 2021'!I90:I94),0),'Data for 2021'!I95)</f>
        <v>0</v>
      </c>
      <c r="J96" s="55">
        <f t="shared" si="15"/>
        <v>417</v>
      </c>
      <c r="K96" s="55">
        <f t="shared" si="12"/>
        <v>417</v>
      </c>
      <c r="L96" s="55">
        <f t="shared" si="13"/>
        <v>0</v>
      </c>
      <c r="M96" s="55" t="str">
        <f t="shared" si="16"/>
        <v/>
      </c>
      <c r="N96" s="55" t="str">
        <f t="shared" si="17"/>
        <v/>
      </c>
      <c r="O96" s="55">
        <f t="shared" si="18"/>
        <v>0</v>
      </c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</row>
    <row r="97" spans="1:54" x14ac:dyDescent="0.2">
      <c r="A97" s="31"/>
      <c r="B97" s="70">
        <v>78</v>
      </c>
      <c r="C97" s="51">
        <v>6</v>
      </c>
      <c r="D97" s="55">
        <v>8</v>
      </c>
      <c r="E97" s="35">
        <v>1</v>
      </c>
      <c r="F97" s="35">
        <f t="shared" si="11"/>
        <v>1</v>
      </c>
      <c r="G97" s="37" cm="1">
        <f t="array" ref="G97">IF(E97&lt;=INDEX($B$4:$B$17,C97),1,0)</f>
        <v>1</v>
      </c>
      <c r="H97" s="37">
        <f t="shared" si="14"/>
        <v>170</v>
      </c>
      <c r="I97" s="38">
        <f>IF(AND(sat_working=TRUE,E97=6),ROUNDDOWN(AVERAGE('Data for 2021'!I91:I95),0),'Data for 2021'!I96)</f>
        <v>147</v>
      </c>
      <c r="J97" s="55">
        <f t="shared" si="15"/>
        <v>417</v>
      </c>
      <c r="K97" s="55">
        <f t="shared" si="12"/>
        <v>394</v>
      </c>
      <c r="L97" s="55">
        <f t="shared" si="13"/>
        <v>0</v>
      </c>
      <c r="M97" s="55" t="str">
        <f t="shared" si="16"/>
        <v/>
      </c>
      <c r="N97" s="55" t="str">
        <f t="shared" si="17"/>
        <v/>
      </c>
      <c r="O97" s="55">
        <f t="shared" si="18"/>
        <v>0</v>
      </c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</row>
    <row r="98" spans="1:54" x14ac:dyDescent="0.2">
      <c r="A98" s="31"/>
      <c r="B98" s="67">
        <v>79</v>
      </c>
      <c r="C98" s="51">
        <v>6</v>
      </c>
      <c r="D98" s="55">
        <v>9</v>
      </c>
      <c r="E98" s="37">
        <v>2</v>
      </c>
      <c r="F98" s="37">
        <f t="shared" si="11"/>
        <v>1</v>
      </c>
      <c r="G98" s="37" cm="1">
        <f t="array" ref="G98">IF(E98&lt;=INDEX($B$4:$B$17,C98),1,0)</f>
        <v>1</v>
      </c>
      <c r="H98" s="37">
        <f t="shared" si="14"/>
        <v>170</v>
      </c>
      <c r="I98" s="38">
        <f>IF(AND(sat_working=TRUE,E98=6),ROUNDDOWN(AVERAGE('Data for 2021'!I92:I96),0),'Data for 2021'!I97)</f>
        <v>145</v>
      </c>
      <c r="J98" s="55">
        <f t="shared" si="15"/>
        <v>394</v>
      </c>
      <c r="K98" s="55">
        <f t="shared" si="12"/>
        <v>369</v>
      </c>
      <c r="L98" s="55">
        <f t="shared" si="13"/>
        <v>0</v>
      </c>
      <c r="M98" s="55">
        <f t="shared" si="16"/>
        <v>170</v>
      </c>
      <c r="N98" s="55" t="str">
        <f t="shared" si="17"/>
        <v/>
      </c>
      <c r="O98" s="55">
        <f t="shared" si="18"/>
        <v>0</v>
      </c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</row>
    <row r="99" spans="1:54" x14ac:dyDescent="0.2">
      <c r="A99" s="31"/>
      <c r="B99" s="70">
        <v>80</v>
      </c>
      <c r="C99" s="51">
        <v>6</v>
      </c>
      <c r="D99" s="55">
        <v>10</v>
      </c>
      <c r="E99" s="37">
        <v>3</v>
      </c>
      <c r="F99" s="37">
        <f t="shared" si="11"/>
        <v>1</v>
      </c>
      <c r="G99" s="37" cm="1">
        <f t="array" ref="G99">IF(E99&lt;=INDEX($B$4:$B$17,C99),1,0)</f>
        <v>1</v>
      </c>
      <c r="H99" s="37">
        <f t="shared" si="14"/>
        <v>170</v>
      </c>
      <c r="I99" s="38">
        <f>IF(AND(sat_working=TRUE,E99=6),ROUNDDOWN(AVERAGE('Data for 2021'!I93:I97),0),'Data for 2021'!I98)</f>
        <v>154</v>
      </c>
      <c r="J99" s="55">
        <f t="shared" si="15"/>
        <v>369</v>
      </c>
      <c r="K99" s="55">
        <f t="shared" si="12"/>
        <v>353</v>
      </c>
      <c r="L99" s="55">
        <f t="shared" si="13"/>
        <v>0</v>
      </c>
      <c r="M99" s="55">
        <f t="shared" si="16"/>
        <v>170</v>
      </c>
      <c r="N99" s="55" t="str">
        <f t="shared" si="17"/>
        <v/>
      </c>
      <c r="O99" s="55">
        <f t="shared" si="18"/>
        <v>0</v>
      </c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</row>
    <row r="100" spans="1:54" x14ac:dyDescent="0.2">
      <c r="A100" s="31"/>
      <c r="B100" s="67">
        <v>81</v>
      </c>
      <c r="C100" s="51">
        <v>6</v>
      </c>
      <c r="D100" s="55">
        <v>11</v>
      </c>
      <c r="E100" s="37">
        <v>4</v>
      </c>
      <c r="F100" s="37">
        <f t="shared" si="11"/>
        <v>1</v>
      </c>
      <c r="G100" s="37" cm="1">
        <f t="array" ref="G100">IF(E100&lt;=INDEX($B$4:$B$17,C100),1,0)</f>
        <v>1</v>
      </c>
      <c r="H100" s="37">
        <f t="shared" si="14"/>
        <v>170</v>
      </c>
      <c r="I100" s="38">
        <f>IF(AND(sat_working=TRUE,E100=6),ROUNDDOWN(AVERAGE('Data for 2021'!I94:I98),0),'Data for 2021'!I99)</f>
        <v>149</v>
      </c>
      <c r="J100" s="55">
        <f t="shared" si="15"/>
        <v>353</v>
      </c>
      <c r="K100" s="55">
        <f t="shared" si="12"/>
        <v>332</v>
      </c>
      <c r="L100" s="55">
        <f t="shared" si="13"/>
        <v>0</v>
      </c>
      <c r="M100" s="55">
        <f t="shared" si="16"/>
        <v>170</v>
      </c>
      <c r="N100" s="55" t="str">
        <f t="shared" si="17"/>
        <v/>
      </c>
      <c r="O100" s="55">
        <f t="shared" si="18"/>
        <v>0</v>
      </c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</row>
    <row r="101" spans="1:54" x14ac:dyDescent="0.2">
      <c r="A101" s="31"/>
      <c r="B101" s="70">
        <v>82</v>
      </c>
      <c r="C101" s="51">
        <v>6</v>
      </c>
      <c r="D101" s="55">
        <v>12</v>
      </c>
      <c r="E101" s="37">
        <v>5</v>
      </c>
      <c r="F101" s="37">
        <f t="shared" si="11"/>
        <v>1</v>
      </c>
      <c r="G101" s="37" cm="1">
        <f t="array" ref="G101">IF(E101&lt;=INDEX($B$4:$B$17,C101),1,0)</f>
        <v>1</v>
      </c>
      <c r="H101" s="37">
        <f t="shared" si="14"/>
        <v>170</v>
      </c>
      <c r="I101" s="38">
        <f>IF(AND(sat_working=TRUE,E101=6),ROUNDDOWN(AVERAGE('Data for 2021'!I95:I99),0),'Data for 2021'!I100)</f>
        <v>135</v>
      </c>
      <c r="J101" s="55">
        <f t="shared" si="15"/>
        <v>332</v>
      </c>
      <c r="K101" s="55">
        <f t="shared" si="12"/>
        <v>297</v>
      </c>
      <c r="L101" s="55">
        <f t="shared" si="13"/>
        <v>0</v>
      </c>
      <c r="M101" s="55">
        <f t="shared" si="16"/>
        <v>170</v>
      </c>
      <c r="N101" s="55" t="str">
        <f t="shared" si="17"/>
        <v/>
      </c>
      <c r="O101" s="55">
        <f t="shared" si="18"/>
        <v>0</v>
      </c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</row>
    <row r="102" spans="1:54" x14ac:dyDescent="0.2">
      <c r="A102" s="31"/>
      <c r="B102" s="67">
        <v>83</v>
      </c>
      <c r="C102" s="51">
        <v>6</v>
      </c>
      <c r="D102" s="55">
        <v>13</v>
      </c>
      <c r="E102" s="37">
        <v>6</v>
      </c>
      <c r="F102" s="37">
        <f t="shared" si="11"/>
        <v>1</v>
      </c>
      <c r="G102" s="37" cm="1">
        <f t="array" ref="G102">IF(E102&lt;=INDEX($B$4:$B$17,C102),1,0)</f>
        <v>0</v>
      </c>
      <c r="H102" s="37">
        <f t="shared" si="14"/>
        <v>0</v>
      </c>
      <c r="I102" s="38">
        <f>I95</f>
        <v>147</v>
      </c>
      <c r="J102" s="55">
        <f t="shared" si="15"/>
        <v>297</v>
      </c>
      <c r="K102" s="55">
        <f t="shared" si="12"/>
        <v>444</v>
      </c>
      <c r="L102" s="55">
        <f t="shared" si="13"/>
        <v>0</v>
      </c>
      <c r="M102" s="55">
        <f t="shared" si="16"/>
        <v>170</v>
      </c>
      <c r="N102" s="55" t="str">
        <f t="shared" si="17"/>
        <v/>
      </c>
      <c r="O102" s="55">
        <f t="shared" si="18"/>
        <v>1</v>
      </c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</row>
    <row r="103" spans="1:54" x14ac:dyDescent="0.2">
      <c r="A103" s="31"/>
      <c r="B103" s="70">
        <v>84</v>
      </c>
      <c r="C103" s="52">
        <v>6</v>
      </c>
      <c r="D103" s="57">
        <v>14</v>
      </c>
      <c r="E103" s="37">
        <v>7</v>
      </c>
      <c r="F103" s="37">
        <f t="shared" si="11"/>
        <v>0</v>
      </c>
      <c r="G103" s="37" cm="1">
        <f t="array" ref="G103">IF(E103&lt;=INDEX($B$4:$B$17,C103),1,0)</f>
        <v>0</v>
      </c>
      <c r="H103" s="37">
        <f t="shared" si="14"/>
        <v>0</v>
      </c>
      <c r="I103" s="38">
        <f>IF(AND(sat_working=TRUE,E103=6),ROUNDDOWN(AVERAGE('Data for 2021'!I97:I101),0),'Data for 2021'!I102)</f>
        <v>0</v>
      </c>
      <c r="J103" s="55">
        <f t="shared" si="15"/>
        <v>444</v>
      </c>
      <c r="K103" s="55">
        <f t="shared" si="12"/>
        <v>444</v>
      </c>
      <c r="L103" s="55">
        <f t="shared" si="13"/>
        <v>0</v>
      </c>
      <c r="M103" s="55" t="str">
        <f t="shared" si="16"/>
        <v/>
      </c>
      <c r="N103" s="55" t="str">
        <f t="shared" si="17"/>
        <v/>
      </c>
      <c r="O103" s="55">
        <f t="shared" si="18"/>
        <v>0</v>
      </c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</row>
    <row r="104" spans="1:54" x14ac:dyDescent="0.2">
      <c r="A104" s="31" t="s">
        <v>94</v>
      </c>
      <c r="B104" s="67">
        <v>85</v>
      </c>
      <c r="C104" s="50">
        <v>7</v>
      </c>
      <c r="D104" s="53">
        <v>1</v>
      </c>
      <c r="E104" s="35">
        <v>1</v>
      </c>
      <c r="F104" s="35">
        <f t="shared" si="11"/>
        <v>1</v>
      </c>
      <c r="G104" s="35" cm="1">
        <f t="array" ref="G104">IF(E104&lt;=INDEX($B$4:$B$17,C104),1,0)</f>
        <v>1</v>
      </c>
      <c r="H104" s="37">
        <f t="shared" si="14"/>
        <v>170</v>
      </c>
      <c r="I104" s="38">
        <f>IF(AND(sat_working=TRUE,E104=6),ROUNDDOWN(AVERAGE('Data for 2021'!I98:I102),0),'Data for 2021'!I103)</f>
        <v>133</v>
      </c>
      <c r="J104" s="55">
        <f t="shared" si="15"/>
        <v>444</v>
      </c>
      <c r="K104" s="55">
        <f t="shared" si="12"/>
        <v>407</v>
      </c>
      <c r="L104" s="55">
        <f t="shared" si="13"/>
        <v>0</v>
      </c>
      <c r="M104" s="55" t="str">
        <f t="shared" si="16"/>
        <v/>
      </c>
      <c r="N104" s="55" t="str">
        <f t="shared" si="17"/>
        <v/>
      </c>
      <c r="O104" s="55">
        <f t="shared" si="18"/>
        <v>0</v>
      </c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</row>
    <row r="105" spans="1:54" x14ac:dyDescent="0.2">
      <c r="A105" s="31"/>
      <c r="B105" s="70">
        <v>86</v>
      </c>
      <c r="C105" s="51">
        <v>7</v>
      </c>
      <c r="D105" s="55">
        <v>2</v>
      </c>
      <c r="E105" s="37">
        <v>2</v>
      </c>
      <c r="F105" s="37">
        <f t="shared" si="11"/>
        <v>1</v>
      </c>
      <c r="G105" s="37" cm="1">
        <f t="array" ref="G105">IF(E105&lt;=INDEX($B$4:$B$17,C105),1,0)</f>
        <v>1</v>
      </c>
      <c r="H105" s="37">
        <f t="shared" si="14"/>
        <v>170</v>
      </c>
      <c r="I105" s="38">
        <f>IF(AND(sat_working=TRUE,E105=6),ROUNDDOWN(AVERAGE('Data for 2021'!I99:I103),0),'Data for 2021'!I104)</f>
        <v>144</v>
      </c>
      <c r="J105" s="55">
        <f t="shared" si="15"/>
        <v>407</v>
      </c>
      <c r="K105" s="55">
        <f t="shared" si="12"/>
        <v>381</v>
      </c>
      <c r="L105" s="55">
        <f t="shared" si="13"/>
        <v>0</v>
      </c>
      <c r="M105" s="55">
        <f t="shared" si="16"/>
        <v>170</v>
      </c>
      <c r="N105" s="55" t="str">
        <f t="shared" si="17"/>
        <v/>
      </c>
      <c r="O105" s="55">
        <f t="shared" si="18"/>
        <v>0</v>
      </c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</row>
    <row r="106" spans="1:54" x14ac:dyDescent="0.2">
      <c r="A106" s="31"/>
      <c r="B106" s="67">
        <v>87</v>
      </c>
      <c r="C106" s="51">
        <v>7</v>
      </c>
      <c r="D106" s="55">
        <v>3</v>
      </c>
      <c r="E106" s="37">
        <v>3</v>
      </c>
      <c r="F106" s="37">
        <f t="shared" si="11"/>
        <v>1</v>
      </c>
      <c r="G106" s="37" cm="1">
        <f t="array" ref="G106">IF(E106&lt;=INDEX($B$4:$B$17,C106),1,0)</f>
        <v>1</v>
      </c>
      <c r="H106" s="37">
        <f t="shared" si="14"/>
        <v>170</v>
      </c>
      <c r="I106" s="38">
        <f>IF(AND(sat_working=TRUE,E106=6),ROUNDDOWN(AVERAGE('Data for 2021'!I100:I104),0),'Data for 2021'!I105)</f>
        <v>119</v>
      </c>
      <c r="J106" s="55">
        <f t="shared" si="15"/>
        <v>381</v>
      </c>
      <c r="K106" s="55">
        <f t="shared" si="12"/>
        <v>330</v>
      </c>
      <c r="L106" s="55">
        <f t="shared" si="13"/>
        <v>0</v>
      </c>
      <c r="M106" s="55">
        <f t="shared" si="16"/>
        <v>170</v>
      </c>
      <c r="N106" s="55" t="str">
        <f t="shared" si="17"/>
        <v/>
      </c>
      <c r="O106" s="55">
        <f t="shared" si="18"/>
        <v>0</v>
      </c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</row>
    <row r="107" spans="1:54" x14ac:dyDescent="0.2">
      <c r="A107" s="31"/>
      <c r="B107" s="70">
        <v>88</v>
      </c>
      <c r="C107" s="51">
        <v>7</v>
      </c>
      <c r="D107" s="55">
        <v>4</v>
      </c>
      <c r="E107" s="37">
        <v>4</v>
      </c>
      <c r="F107" s="37">
        <f t="shared" si="11"/>
        <v>1</v>
      </c>
      <c r="G107" s="37" cm="1">
        <f t="array" ref="G107">IF(E107&lt;=INDEX($B$4:$B$17,C107),1,0)</f>
        <v>1</v>
      </c>
      <c r="H107" s="37">
        <f t="shared" si="14"/>
        <v>170</v>
      </c>
      <c r="I107" s="38">
        <f>IF(AND(sat_working=TRUE,E107=6),ROUNDDOWN(AVERAGE('Data for 2021'!I101:I105),0),'Data for 2021'!I106)</f>
        <v>129</v>
      </c>
      <c r="J107" s="55">
        <f t="shared" si="15"/>
        <v>330</v>
      </c>
      <c r="K107" s="55">
        <f t="shared" si="12"/>
        <v>289</v>
      </c>
      <c r="L107" s="55">
        <f t="shared" si="13"/>
        <v>0</v>
      </c>
      <c r="M107" s="55">
        <f t="shared" si="16"/>
        <v>170</v>
      </c>
      <c r="N107" s="55" t="str">
        <f t="shared" si="17"/>
        <v/>
      </c>
      <c r="O107" s="55">
        <f t="shared" si="18"/>
        <v>0</v>
      </c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</row>
    <row r="108" spans="1:54" x14ac:dyDescent="0.2">
      <c r="A108" s="31"/>
      <c r="B108" s="67">
        <v>89</v>
      </c>
      <c r="C108" s="51">
        <v>7</v>
      </c>
      <c r="D108" s="55">
        <v>5</v>
      </c>
      <c r="E108" s="37">
        <v>5</v>
      </c>
      <c r="F108" s="37">
        <f t="shared" si="11"/>
        <v>1</v>
      </c>
      <c r="G108" s="37" cm="1">
        <f t="array" ref="G108">IF(E108&lt;=INDEX($B$4:$B$17,C108),1,0)</f>
        <v>1</v>
      </c>
      <c r="H108" s="37">
        <f t="shared" si="14"/>
        <v>170</v>
      </c>
      <c r="I108" s="38">
        <f>IF(AND(sat_working=TRUE,E108=6),ROUNDDOWN(AVERAGE('Data for 2021'!I102:I106),0),'Data for 2021'!I107)</f>
        <v>172</v>
      </c>
      <c r="J108" s="55">
        <f t="shared" si="15"/>
        <v>289</v>
      </c>
      <c r="K108" s="55">
        <f t="shared" si="12"/>
        <v>291</v>
      </c>
      <c r="L108" s="55">
        <f t="shared" si="13"/>
        <v>0</v>
      </c>
      <c r="M108" s="55">
        <f t="shared" si="16"/>
        <v>170</v>
      </c>
      <c r="N108" s="55" t="str">
        <f t="shared" si="17"/>
        <v/>
      </c>
      <c r="O108" s="55">
        <f t="shared" si="18"/>
        <v>1</v>
      </c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</row>
    <row r="109" spans="1:54" x14ac:dyDescent="0.2">
      <c r="A109" s="31"/>
      <c r="B109" s="70">
        <v>90</v>
      </c>
      <c r="C109" s="51">
        <v>7</v>
      </c>
      <c r="D109" s="55">
        <v>6</v>
      </c>
      <c r="E109" s="37">
        <v>6</v>
      </c>
      <c r="F109" s="37">
        <f t="shared" si="11"/>
        <v>1</v>
      </c>
      <c r="G109" s="37" cm="1">
        <f t="array" ref="G109">IF(E109&lt;=INDEX($B$4:$B$17,C109),1,0)</f>
        <v>0</v>
      </c>
      <c r="H109" s="37">
        <f t="shared" si="14"/>
        <v>0</v>
      </c>
      <c r="I109" s="38">
        <f>IF(AND(sat_working=TRUE,E109=6),ROUNDDOWN(AVERAGE('Data for 2021'!I103:I107,'Data for 2021'!I110:I114),0),'Data for 2021'!I108)</f>
        <v>143</v>
      </c>
      <c r="J109" s="55">
        <f t="shared" si="15"/>
        <v>291</v>
      </c>
      <c r="K109" s="55">
        <f t="shared" si="12"/>
        <v>434</v>
      </c>
      <c r="L109" s="55">
        <f t="shared" si="13"/>
        <v>0</v>
      </c>
      <c r="M109" s="55">
        <f t="shared" si="16"/>
        <v>170</v>
      </c>
      <c r="N109" s="55" t="str">
        <f t="shared" si="17"/>
        <v/>
      </c>
      <c r="O109" s="55">
        <f t="shared" si="18"/>
        <v>1</v>
      </c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</row>
    <row r="110" spans="1:54" x14ac:dyDescent="0.2">
      <c r="A110" s="31"/>
      <c r="B110" s="67">
        <v>91</v>
      </c>
      <c r="C110" s="51">
        <v>7</v>
      </c>
      <c r="D110" s="55">
        <v>7</v>
      </c>
      <c r="E110" s="37">
        <v>7</v>
      </c>
      <c r="F110" s="37">
        <f t="shared" si="11"/>
        <v>0</v>
      </c>
      <c r="G110" s="37" cm="1">
        <f t="array" ref="G110">IF(E110&lt;=INDEX($B$4:$B$17,C110),1,0)</f>
        <v>0</v>
      </c>
      <c r="H110" s="37">
        <f t="shared" si="14"/>
        <v>0</v>
      </c>
      <c r="I110" s="38">
        <f>IF(AND(sat_working=TRUE,E110=6),ROUNDDOWN(AVERAGE('Data for 2021'!I104:I108),0),'Data for 2021'!I109)</f>
        <v>0</v>
      </c>
      <c r="J110" s="55">
        <f t="shared" si="15"/>
        <v>434</v>
      </c>
      <c r="K110" s="55">
        <f t="shared" si="12"/>
        <v>434</v>
      </c>
      <c r="L110" s="55">
        <f t="shared" si="13"/>
        <v>0</v>
      </c>
      <c r="M110" s="55" t="str">
        <f t="shared" si="16"/>
        <v/>
      </c>
      <c r="N110" s="55" t="str">
        <f t="shared" si="17"/>
        <v/>
      </c>
      <c r="O110" s="55">
        <f t="shared" si="18"/>
        <v>0</v>
      </c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</row>
    <row r="111" spans="1:54" x14ac:dyDescent="0.2">
      <c r="A111" s="31"/>
      <c r="B111" s="70">
        <v>92</v>
      </c>
      <c r="C111" s="51">
        <v>7</v>
      </c>
      <c r="D111" s="55">
        <v>8</v>
      </c>
      <c r="E111" s="35">
        <v>1</v>
      </c>
      <c r="F111" s="35">
        <f t="shared" si="11"/>
        <v>1</v>
      </c>
      <c r="G111" s="37" cm="1">
        <f t="array" ref="G111">IF(E111&lt;=INDEX($B$4:$B$17,C111),1,0)</f>
        <v>1</v>
      </c>
      <c r="H111" s="37">
        <f t="shared" si="14"/>
        <v>170</v>
      </c>
      <c r="I111" s="38">
        <f>IF(AND(sat_working=TRUE,E111=6),ROUNDDOWN(AVERAGE('Data for 2021'!I105:I109),0),'Data for 2021'!I110)</f>
        <v>142</v>
      </c>
      <c r="J111" s="55">
        <f t="shared" si="15"/>
        <v>434</v>
      </c>
      <c r="K111" s="55">
        <f t="shared" si="12"/>
        <v>406</v>
      </c>
      <c r="L111" s="55">
        <f t="shared" si="13"/>
        <v>0</v>
      </c>
      <c r="M111" s="55" t="str">
        <f t="shared" si="16"/>
        <v/>
      </c>
      <c r="N111" s="55" t="str">
        <f t="shared" si="17"/>
        <v/>
      </c>
      <c r="O111" s="55">
        <f t="shared" si="18"/>
        <v>0</v>
      </c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</row>
    <row r="112" spans="1:54" x14ac:dyDescent="0.2">
      <c r="A112" s="31"/>
      <c r="B112" s="67">
        <v>93</v>
      </c>
      <c r="C112" s="51">
        <v>7</v>
      </c>
      <c r="D112" s="55">
        <v>9</v>
      </c>
      <c r="E112" s="37">
        <v>2</v>
      </c>
      <c r="F112" s="37">
        <f t="shared" si="11"/>
        <v>1</v>
      </c>
      <c r="G112" s="37" cm="1">
        <f t="array" ref="G112">IF(E112&lt;=INDEX($B$4:$B$17,C112),1,0)</f>
        <v>1</v>
      </c>
      <c r="H112" s="37">
        <f t="shared" si="14"/>
        <v>170</v>
      </c>
      <c r="I112" s="38">
        <f>IF(AND(sat_working=TRUE,E112=6),ROUNDDOWN(AVERAGE('Data for 2021'!I106:I110),0),'Data for 2021'!I111)</f>
        <v>151</v>
      </c>
      <c r="J112" s="55">
        <f t="shared" si="15"/>
        <v>406</v>
      </c>
      <c r="K112" s="55">
        <f t="shared" si="12"/>
        <v>387</v>
      </c>
      <c r="L112" s="55">
        <f t="shared" si="13"/>
        <v>0</v>
      </c>
      <c r="M112" s="55">
        <f t="shared" si="16"/>
        <v>170</v>
      </c>
      <c r="N112" s="55" t="str">
        <f t="shared" si="17"/>
        <v/>
      </c>
      <c r="O112" s="55">
        <f t="shared" si="18"/>
        <v>0</v>
      </c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</row>
    <row r="113" spans="1:54" x14ac:dyDescent="0.2">
      <c r="A113" s="31"/>
      <c r="B113" s="70">
        <v>94</v>
      </c>
      <c r="C113" s="51">
        <v>7</v>
      </c>
      <c r="D113" s="55">
        <v>10</v>
      </c>
      <c r="E113" s="37">
        <v>3</v>
      </c>
      <c r="F113" s="37">
        <f t="shared" si="11"/>
        <v>1</v>
      </c>
      <c r="G113" s="37" cm="1">
        <f t="array" ref="G113">IF(E113&lt;=INDEX($B$4:$B$17,C113),1,0)</f>
        <v>1</v>
      </c>
      <c r="H113" s="37">
        <f t="shared" si="14"/>
        <v>170</v>
      </c>
      <c r="I113" s="38">
        <f>IF(AND(sat_working=TRUE,E113=6),ROUNDDOWN(AVERAGE('Data for 2021'!I107:I111),0),'Data for 2021'!I112)</f>
        <v>173</v>
      </c>
      <c r="J113" s="55">
        <f t="shared" si="15"/>
        <v>387</v>
      </c>
      <c r="K113" s="55">
        <f t="shared" si="12"/>
        <v>390</v>
      </c>
      <c r="L113" s="55">
        <f t="shared" si="13"/>
        <v>0</v>
      </c>
      <c r="M113" s="55">
        <f t="shared" si="16"/>
        <v>170</v>
      </c>
      <c r="N113" s="55" t="str">
        <f t="shared" si="17"/>
        <v/>
      </c>
      <c r="O113" s="55">
        <f t="shared" si="18"/>
        <v>1</v>
      </c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</row>
    <row r="114" spans="1:54" x14ac:dyDescent="0.2">
      <c r="A114" s="31"/>
      <c r="B114" s="67">
        <v>95</v>
      </c>
      <c r="C114" s="51">
        <v>7</v>
      </c>
      <c r="D114" s="55">
        <v>11</v>
      </c>
      <c r="E114" s="37">
        <v>4</v>
      </c>
      <c r="F114" s="37">
        <f t="shared" si="11"/>
        <v>1</v>
      </c>
      <c r="G114" s="37" cm="1">
        <f t="array" ref="G114">IF(E114&lt;=INDEX($B$4:$B$17,C114),1,0)</f>
        <v>1</v>
      </c>
      <c r="H114" s="37">
        <f t="shared" si="14"/>
        <v>170</v>
      </c>
      <c r="I114" s="38">
        <f>IF(AND(sat_working=TRUE,E114=6),ROUNDDOWN(AVERAGE('Data for 2021'!I108:I112),0),'Data for 2021'!I113)</f>
        <v>127</v>
      </c>
      <c r="J114" s="55">
        <f t="shared" si="15"/>
        <v>390</v>
      </c>
      <c r="K114" s="55">
        <f t="shared" si="12"/>
        <v>347</v>
      </c>
      <c r="L114" s="55">
        <f t="shared" si="13"/>
        <v>0</v>
      </c>
      <c r="M114" s="55">
        <f t="shared" si="16"/>
        <v>170</v>
      </c>
      <c r="N114" s="55" t="str">
        <f t="shared" si="17"/>
        <v/>
      </c>
      <c r="O114" s="55">
        <f t="shared" si="18"/>
        <v>0</v>
      </c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</row>
    <row r="115" spans="1:54" x14ac:dyDescent="0.2">
      <c r="A115" s="31"/>
      <c r="B115" s="70">
        <v>96</v>
      </c>
      <c r="C115" s="51">
        <v>7</v>
      </c>
      <c r="D115" s="55">
        <v>12</v>
      </c>
      <c r="E115" s="37">
        <v>5</v>
      </c>
      <c r="F115" s="37">
        <f t="shared" si="11"/>
        <v>1</v>
      </c>
      <c r="G115" s="37" cm="1">
        <f t="array" ref="G115">IF(E115&lt;=INDEX($B$4:$B$17,C115),1,0)</f>
        <v>1</v>
      </c>
      <c r="H115" s="37">
        <f t="shared" si="14"/>
        <v>170</v>
      </c>
      <c r="I115" s="38">
        <f>IF(AND(sat_working=TRUE,E115=6),ROUNDDOWN(AVERAGE('Data for 2021'!I109:I113),0),'Data for 2021'!I114)</f>
        <v>143</v>
      </c>
      <c r="J115" s="55">
        <f t="shared" si="15"/>
        <v>347</v>
      </c>
      <c r="K115" s="55">
        <f t="shared" si="12"/>
        <v>320</v>
      </c>
      <c r="L115" s="55">
        <f t="shared" si="13"/>
        <v>0</v>
      </c>
      <c r="M115" s="55">
        <f t="shared" si="16"/>
        <v>170</v>
      </c>
      <c r="N115" s="55" t="str">
        <f t="shared" si="17"/>
        <v/>
      </c>
      <c r="O115" s="55">
        <f t="shared" si="18"/>
        <v>0</v>
      </c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</row>
    <row r="116" spans="1:54" x14ac:dyDescent="0.2">
      <c r="A116" s="31"/>
      <c r="B116" s="67">
        <v>97</v>
      </c>
      <c r="C116" s="51">
        <v>7</v>
      </c>
      <c r="D116" s="55">
        <v>13</v>
      </c>
      <c r="E116" s="37">
        <v>6</v>
      </c>
      <c r="F116" s="37">
        <f t="shared" ref="F116:F147" si="19">IF(OR(I116&lt;&gt;0,(AND(sat_working=TRUE,E116=6))),1,0)</f>
        <v>1</v>
      </c>
      <c r="G116" s="37" cm="1">
        <f t="array" ref="G116">IF(E116&lt;=INDEX($B$4:$B$17,C116),1,0)</f>
        <v>0</v>
      </c>
      <c r="H116" s="37">
        <f t="shared" si="14"/>
        <v>0</v>
      </c>
      <c r="I116" s="38">
        <f>I109</f>
        <v>143</v>
      </c>
      <c r="J116" s="55">
        <f t="shared" si="15"/>
        <v>320</v>
      </c>
      <c r="K116" s="55">
        <f t="shared" ref="K116:K147" si="20">J116+I116-H116</f>
        <v>463</v>
      </c>
      <c r="L116" s="55">
        <f t="shared" si="13"/>
        <v>0</v>
      </c>
      <c r="M116" s="55">
        <f t="shared" si="16"/>
        <v>170</v>
      </c>
      <c r="N116" s="55" t="str">
        <f t="shared" si="17"/>
        <v/>
      </c>
      <c r="O116" s="55">
        <f t="shared" si="18"/>
        <v>1</v>
      </c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</row>
    <row r="117" spans="1:54" x14ac:dyDescent="0.2">
      <c r="A117" s="31"/>
      <c r="B117" s="70">
        <v>98</v>
      </c>
      <c r="C117" s="52">
        <v>7</v>
      </c>
      <c r="D117" s="57">
        <v>14</v>
      </c>
      <c r="E117" s="37">
        <v>7</v>
      </c>
      <c r="F117" s="37">
        <f t="shared" si="19"/>
        <v>0</v>
      </c>
      <c r="G117" s="37" cm="1">
        <f t="array" ref="G117">IF(E117&lt;=INDEX($B$4:$B$17,C117),1,0)</f>
        <v>0</v>
      </c>
      <c r="H117" s="37">
        <f t="shared" si="14"/>
        <v>0</v>
      </c>
      <c r="I117" s="38">
        <f>IF(AND(sat_working=TRUE,E117=6),ROUNDDOWN(AVERAGE('Data for 2021'!I111:I115),0),'Data for 2021'!I116)</f>
        <v>0</v>
      </c>
      <c r="J117" s="55">
        <f t="shared" si="15"/>
        <v>463</v>
      </c>
      <c r="K117" s="55">
        <f t="shared" si="20"/>
        <v>463</v>
      </c>
      <c r="L117" s="55">
        <f t="shared" ref="L117:L148" si="21">IF(AND(H117=J117,G117),1,0)</f>
        <v>0</v>
      </c>
      <c r="M117" s="55" t="str">
        <f t="shared" si="16"/>
        <v/>
      </c>
      <c r="N117" s="55" t="str">
        <f t="shared" si="17"/>
        <v/>
      </c>
      <c r="O117" s="55">
        <f t="shared" si="18"/>
        <v>0</v>
      </c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</row>
    <row r="118" spans="1:54" x14ac:dyDescent="0.2">
      <c r="A118" s="31" t="s">
        <v>93</v>
      </c>
      <c r="B118" s="67">
        <v>99</v>
      </c>
      <c r="C118" s="50">
        <v>8</v>
      </c>
      <c r="D118" s="53">
        <v>1</v>
      </c>
      <c r="E118" s="35">
        <v>1</v>
      </c>
      <c r="F118" s="35">
        <f t="shared" si="19"/>
        <v>1</v>
      </c>
      <c r="G118" s="35" cm="1">
        <f t="array" ref="G118">IF(E118&lt;=INDEX($B$4:$B$17,C118),1,0)</f>
        <v>1</v>
      </c>
      <c r="H118" s="37">
        <f t="shared" si="14"/>
        <v>170</v>
      </c>
      <c r="I118" s="38">
        <f>IF(AND(sat_working=TRUE,E118=6),ROUNDDOWN(AVERAGE('Data for 2021'!I112:I116),0),'Data for 2021'!I117)</f>
        <v>189</v>
      </c>
      <c r="J118" s="55">
        <f t="shared" si="15"/>
        <v>463</v>
      </c>
      <c r="K118" s="55">
        <f t="shared" si="20"/>
        <v>482</v>
      </c>
      <c r="L118" s="55">
        <f t="shared" si="21"/>
        <v>0</v>
      </c>
      <c r="M118" s="55" t="str">
        <f t="shared" si="16"/>
        <v/>
      </c>
      <c r="N118" s="55" t="str">
        <f t="shared" si="17"/>
        <v/>
      </c>
      <c r="O118" s="55">
        <f t="shared" si="18"/>
        <v>1</v>
      </c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</row>
    <row r="119" spans="1:54" x14ac:dyDescent="0.2">
      <c r="A119" s="31"/>
      <c r="B119" s="70">
        <v>100</v>
      </c>
      <c r="C119" s="51">
        <v>8</v>
      </c>
      <c r="D119" s="55">
        <v>2</v>
      </c>
      <c r="E119" s="37">
        <v>2</v>
      </c>
      <c r="F119" s="37">
        <f t="shared" si="19"/>
        <v>1</v>
      </c>
      <c r="G119" s="37" cm="1">
        <f t="array" ref="G119">IF(E119&lt;=INDEX($B$4:$B$17,C119),1,0)</f>
        <v>1</v>
      </c>
      <c r="H119" s="37">
        <f t="shared" si="14"/>
        <v>170</v>
      </c>
      <c r="I119" s="38">
        <f>IF(AND(sat_working=TRUE,E119=6),ROUNDDOWN(AVERAGE('Data for 2021'!I113:I117),0),'Data for 2021'!I118)</f>
        <v>169</v>
      </c>
      <c r="J119" s="55">
        <f t="shared" si="15"/>
        <v>482</v>
      </c>
      <c r="K119" s="55">
        <f t="shared" si="20"/>
        <v>481</v>
      </c>
      <c r="L119" s="55">
        <f t="shared" si="21"/>
        <v>0</v>
      </c>
      <c r="M119" s="55">
        <f t="shared" si="16"/>
        <v>170</v>
      </c>
      <c r="N119" s="55" t="str">
        <f t="shared" si="17"/>
        <v/>
      </c>
      <c r="O119" s="55">
        <f t="shared" si="18"/>
        <v>0</v>
      </c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</row>
    <row r="120" spans="1:54" x14ac:dyDescent="0.2">
      <c r="A120" s="31"/>
      <c r="B120" s="67">
        <v>101</v>
      </c>
      <c r="C120" s="51">
        <v>8</v>
      </c>
      <c r="D120" s="55">
        <v>3</v>
      </c>
      <c r="E120" s="37">
        <v>3</v>
      </c>
      <c r="F120" s="37">
        <f t="shared" si="19"/>
        <v>1</v>
      </c>
      <c r="G120" s="37" cm="1">
        <f t="array" ref="G120">IF(E120&lt;=INDEX($B$4:$B$17,C120),1,0)</f>
        <v>1</v>
      </c>
      <c r="H120" s="37">
        <f t="shared" si="14"/>
        <v>170</v>
      </c>
      <c r="I120" s="38">
        <f>IF(AND(sat_working=TRUE,E120=6),ROUNDDOWN(AVERAGE('Data for 2021'!I114:I118),0),'Data for 2021'!I119)</f>
        <v>132</v>
      </c>
      <c r="J120" s="55">
        <f t="shared" si="15"/>
        <v>481</v>
      </c>
      <c r="K120" s="55">
        <f t="shared" si="20"/>
        <v>443</v>
      </c>
      <c r="L120" s="55">
        <f t="shared" si="21"/>
        <v>0</v>
      </c>
      <c r="M120" s="55">
        <f t="shared" si="16"/>
        <v>170</v>
      </c>
      <c r="N120" s="55" t="str">
        <f t="shared" si="17"/>
        <v/>
      </c>
      <c r="O120" s="55">
        <f t="shared" si="18"/>
        <v>0</v>
      </c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</row>
    <row r="121" spans="1:54" x14ac:dyDescent="0.2">
      <c r="A121" s="31"/>
      <c r="B121" s="70">
        <v>102</v>
      </c>
      <c r="C121" s="51">
        <v>8</v>
      </c>
      <c r="D121" s="55">
        <v>4</v>
      </c>
      <c r="E121" s="37">
        <v>4</v>
      </c>
      <c r="F121" s="37">
        <f t="shared" si="19"/>
        <v>1</v>
      </c>
      <c r="G121" s="37" cm="1">
        <f t="array" ref="G121">IF(E121&lt;=INDEX($B$4:$B$17,C121),1,0)</f>
        <v>1</v>
      </c>
      <c r="H121" s="37">
        <f t="shared" si="14"/>
        <v>170</v>
      </c>
      <c r="I121" s="38">
        <f>IF(AND(sat_working=TRUE,E121=6),ROUNDDOWN(AVERAGE('Data for 2021'!I115:I119),0),'Data for 2021'!I120)</f>
        <v>198</v>
      </c>
      <c r="J121" s="55">
        <f t="shared" si="15"/>
        <v>443</v>
      </c>
      <c r="K121" s="55">
        <f t="shared" si="20"/>
        <v>471</v>
      </c>
      <c r="L121" s="55">
        <f t="shared" si="21"/>
        <v>0</v>
      </c>
      <c r="M121" s="55">
        <f t="shared" si="16"/>
        <v>170</v>
      </c>
      <c r="N121" s="55" t="str">
        <f t="shared" si="17"/>
        <v/>
      </c>
      <c r="O121" s="55">
        <f t="shared" si="18"/>
        <v>1</v>
      </c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</row>
    <row r="122" spans="1:54" x14ac:dyDescent="0.2">
      <c r="A122" s="31"/>
      <c r="B122" s="67">
        <v>103</v>
      </c>
      <c r="C122" s="51">
        <v>8</v>
      </c>
      <c r="D122" s="55">
        <v>5</v>
      </c>
      <c r="E122" s="37">
        <v>5</v>
      </c>
      <c r="F122" s="37">
        <f t="shared" si="19"/>
        <v>1</v>
      </c>
      <c r="G122" s="37" cm="1">
        <f t="array" ref="G122">IF(E122&lt;=INDEX($B$4:$B$17,C122),1,0)</f>
        <v>1</v>
      </c>
      <c r="H122" s="37">
        <f t="shared" si="14"/>
        <v>170</v>
      </c>
      <c r="I122" s="38">
        <f>IF(AND(sat_working=TRUE,E122=6),ROUNDDOWN(AVERAGE('Data for 2021'!I116:I120),0),'Data for 2021'!I121)</f>
        <v>124</v>
      </c>
      <c r="J122" s="55">
        <f t="shared" si="15"/>
        <v>471</v>
      </c>
      <c r="K122" s="55">
        <f t="shared" si="20"/>
        <v>425</v>
      </c>
      <c r="L122" s="55">
        <f t="shared" si="21"/>
        <v>0</v>
      </c>
      <c r="M122" s="55">
        <f t="shared" si="16"/>
        <v>170</v>
      </c>
      <c r="N122" s="55" t="str">
        <f t="shared" si="17"/>
        <v/>
      </c>
      <c r="O122" s="55">
        <f t="shared" si="18"/>
        <v>0</v>
      </c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</row>
    <row r="123" spans="1:54" x14ac:dyDescent="0.2">
      <c r="A123" s="31"/>
      <c r="B123" s="70">
        <v>104</v>
      </c>
      <c r="C123" s="51">
        <v>8</v>
      </c>
      <c r="D123" s="55">
        <v>6</v>
      </c>
      <c r="E123" s="37">
        <v>6</v>
      </c>
      <c r="F123" s="37">
        <f t="shared" si="19"/>
        <v>1</v>
      </c>
      <c r="G123" s="37" cm="1">
        <f t="array" ref="G123">IF(E123&lt;=INDEX($B$4:$B$17,C123),1,0)</f>
        <v>0</v>
      </c>
      <c r="H123" s="37">
        <f t="shared" si="14"/>
        <v>0</v>
      </c>
      <c r="I123" s="38">
        <f>IF(AND(sat_working=TRUE,E123=6),ROUNDDOWN(AVERAGE('Data for 2021'!I117:I121,'Data for 2021'!I124:I128),0),'Data for 2021'!I122)</f>
        <v>149</v>
      </c>
      <c r="J123" s="55">
        <f t="shared" si="15"/>
        <v>425</v>
      </c>
      <c r="K123" s="55">
        <f t="shared" si="20"/>
        <v>574</v>
      </c>
      <c r="L123" s="55">
        <f t="shared" si="21"/>
        <v>0</v>
      </c>
      <c r="M123" s="55">
        <f t="shared" si="16"/>
        <v>170</v>
      </c>
      <c r="N123" s="55" t="str">
        <f t="shared" si="17"/>
        <v/>
      </c>
      <c r="O123" s="55">
        <f t="shared" si="18"/>
        <v>1</v>
      </c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</row>
    <row r="124" spans="1:54" x14ac:dyDescent="0.2">
      <c r="A124" s="31"/>
      <c r="B124" s="67">
        <v>105</v>
      </c>
      <c r="C124" s="51">
        <v>8</v>
      </c>
      <c r="D124" s="55">
        <v>7</v>
      </c>
      <c r="E124" s="37">
        <v>7</v>
      </c>
      <c r="F124" s="37">
        <f t="shared" si="19"/>
        <v>0</v>
      </c>
      <c r="G124" s="37" cm="1">
        <f t="array" ref="G124">IF(E124&lt;=INDEX($B$4:$B$17,C124),1,0)</f>
        <v>0</v>
      </c>
      <c r="H124" s="37">
        <f t="shared" si="14"/>
        <v>0</v>
      </c>
      <c r="I124" s="38">
        <f>IF(AND(sat_working=TRUE,E124=6),ROUNDDOWN(AVERAGE('Data for 2021'!I118:I122),0),'Data for 2021'!I123)</f>
        <v>0</v>
      </c>
      <c r="J124" s="55">
        <f t="shared" si="15"/>
        <v>574</v>
      </c>
      <c r="K124" s="55">
        <f t="shared" si="20"/>
        <v>574</v>
      </c>
      <c r="L124" s="55">
        <f t="shared" si="21"/>
        <v>0</v>
      </c>
      <c r="M124" s="55" t="str">
        <f t="shared" si="16"/>
        <v/>
      </c>
      <c r="N124" s="55" t="str">
        <f t="shared" si="17"/>
        <v/>
      </c>
      <c r="O124" s="55">
        <f t="shared" si="18"/>
        <v>0</v>
      </c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</row>
    <row r="125" spans="1:54" x14ac:dyDescent="0.2">
      <c r="A125" s="31"/>
      <c r="B125" s="70">
        <v>106</v>
      </c>
      <c r="C125" s="51">
        <v>8</v>
      </c>
      <c r="D125" s="55">
        <v>8</v>
      </c>
      <c r="E125" s="35">
        <v>1</v>
      </c>
      <c r="F125" s="35">
        <f t="shared" si="19"/>
        <v>1</v>
      </c>
      <c r="G125" s="37" cm="1">
        <f t="array" ref="G125">IF(E125&lt;=INDEX($B$4:$B$17,C125),1,0)</f>
        <v>1</v>
      </c>
      <c r="H125" s="37">
        <f t="shared" si="14"/>
        <v>170</v>
      </c>
      <c r="I125" s="38">
        <f>IF(AND(sat_working=TRUE,E125=6),ROUNDDOWN(AVERAGE('Data for 2021'!I119:I123),0),'Data for 2021'!I124)</f>
        <v>31</v>
      </c>
      <c r="J125" s="55">
        <f t="shared" si="15"/>
        <v>574</v>
      </c>
      <c r="K125" s="55">
        <f t="shared" si="20"/>
        <v>435</v>
      </c>
      <c r="L125" s="55">
        <f t="shared" si="21"/>
        <v>0</v>
      </c>
      <c r="M125" s="55" t="str">
        <f t="shared" si="16"/>
        <v/>
      </c>
      <c r="N125" s="55" t="str">
        <f t="shared" si="17"/>
        <v/>
      </c>
      <c r="O125" s="55">
        <f t="shared" si="18"/>
        <v>0</v>
      </c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</row>
    <row r="126" spans="1:54" x14ac:dyDescent="0.2">
      <c r="A126" s="31"/>
      <c r="B126" s="67">
        <v>107</v>
      </c>
      <c r="C126" s="51">
        <v>8</v>
      </c>
      <c r="D126" s="55">
        <v>9</v>
      </c>
      <c r="E126" s="37">
        <v>2</v>
      </c>
      <c r="F126" s="37">
        <f t="shared" si="19"/>
        <v>1</v>
      </c>
      <c r="G126" s="37" cm="1">
        <f t="array" ref="G126">IF(E126&lt;=INDEX($B$4:$B$17,C126),1,0)</f>
        <v>1</v>
      </c>
      <c r="H126" s="37">
        <f t="shared" si="14"/>
        <v>170</v>
      </c>
      <c r="I126" s="38">
        <f>IF(AND(sat_working=TRUE,E126=6),ROUNDDOWN(AVERAGE('Data for 2021'!I120:I124),0),'Data for 2021'!I125)</f>
        <v>209</v>
      </c>
      <c r="J126" s="55">
        <f t="shared" si="15"/>
        <v>435</v>
      </c>
      <c r="K126" s="55">
        <f t="shared" si="20"/>
        <v>474</v>
      </c>
      <c r="L126" s="55">
        <f t="shared" si="21"/>
        <v>0</v>
      </c>
      <c r="M126" s="55">
        <f t="shared" si="16"/>
        <v>170</v>
      </c>
      <c r="N126" s="55" t="str">
        <f t="shared" si="17"/>
        <v/>
      </c>
      <c r="O126" s="55">
        <f t="shared" si="18"/>
        <v>1</v>
      </c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</row>
    <row r="127" spans="1:54" x14ac:dyDescent="0.2">
      <c r="A127" s="31"/>
      <c r="B127" s="70">
        <v>108</v>
      </c>
      <c r="C127" s="51">
        <v>8</v>
      </c>
      <c r="D127" s="55">
        <v>10</v>
      </c>
      <c r="E127" s="37">
        <v>3</v>
      </c>
      <c r="F127" s="37">
        <f t="shared" si="19"/>
        <v>1</v>
      </c>
      <c r="G127" s="37" cm="1">
        <f t="array" ref="G127">IF(E127&lt;=INDEX($B$4:$B$17,C127),1,0)</f>
        <v>1</v>
      </c>
      <c r="H127" s="37">
        <f t="shared" si="14"/>
        <v>170</v>
      </c>
      <c r="I127" s="38">
        <f>IF(AND(sat_working=TRUE,E127=6),ROUNDDOWN(AVERAGE('Data for 2021'!I121:I125),0),'Data for 2021'!I126)</f>
        <v>191</v>
      </c>
      <c r="J127" s="55">
        <f t="shared" si="15"/>
        <v>474</v>
      </c>
      <c r="K127" s="55">
        <f t="shared" si="20"/>
        <v>495</v>
      </c>
      <c r="L127" s="55">
        <f t="shared" si="21"/>
        <v>0</v>
      </c>
      <c r="M127" s="55">
        <f t="shared" si="16"/>
        <v>170</v>
      </c>
      <c r="N127" s="55" t="str">
        <f t="shared" si="17"/>
        <v/>
      </c>
      <c r="O127" s="55">
        <f t="shared" si="18"/>
        <v>1</v>
      </c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</row>
    <row r="128" spans="1:54" x14ac:dyDescent="0.2">
      <c r="A128" s="31"/>
      <c r="B128" s="67">
        <v>109</v>
      </c>
      <c r="C128" s="51">
        <v>8</v>
      </c>
      <c r="D128" s="55">
        <v>11</v>
      </c>
      <c r="E128" s="37">
        <v>4</v>
      </c>
      <c r="F128" s="37">
        <f t="shared" si="19"/>
        <v>1</v>
      </c>
      <c r="G128" s="37" cm="1">
        <f t="array" ref="G128">IF(E128&lt;=INDEX($B$4:$B$17,C128),1,0)</f>
        <v>1</v>
      </c>
      <c r="H128" s="37">
        <f t="shared" si="14"/>
        <v>170</v>
      </c>
      <c r="I128" s="38">
        <f>IF(AND(sat_working=TRUE,E128=6),ROUNDDOWN(AVERAGE('Data for 2021'!I122:I126),0),'Data for 2021'!I127)</f>
        <v>140</v>
      </c>
      <c r="J128" s="55">
        <f t="shared" si="15"/>
        <v>495</v>
      </c>
      <c r="K128" s="55">
        <f t="shared" si="20"/>
        <v>465</v>
      </c>
      <c r="L128" s="55">
        <f t="shared" si="21"/>
        <v>0</v>
      </c>
      <c r="M128" s="55">
        <f t="shared" si="16"/>
        <v>170</v>
      </c>
      <c r="N128" s="55" t="str">
        <f t="shared" si="17"/>
        <v/>
      </c>
      <c r="O128" s="55">
        <f t="shared" si="18"/>
        <v>0</v>
      </c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</row>
    <row r="129" spans="1:54" x14ac:dyDescent="0.2">
      <c r="A129" s="31"/>
      <c r="B129" s="70">
        <v>110</v>
      </c>
      <c r="C129" s="51">
        <v>8</v>
      </c>
      <c r="D129" s="55">
        <v>12</v>
      </c>
      <c r="E129" s="37">
        <v>5</v>
      </c>
      <c r="F129" s="37">
        <f t="shared" si="19"/>
        <v>1</v>
      </c>
      <c r="G129" s="37" cm="1">
        <f t="array" ref="G129">IF(E129&lt;=INDEX($B$4:$B$17,C129),1,0)</f>
        <v>1</v>
      </c>
      <c r="H129" s="37">
        <f t="shared" si="14"/>
        <v>170</v>
      </c>
      <c r="I129" s="38">
        <f>IF(AND(sat_working=TRUE,E129=6),ROUNDDOWN(AVERAGE('Data for 2021'!I123:I127),0),'Data for 2021'!I128)</f>
        <v>116</v>
      </c>
      <c r="J129" s="55">
        <f t="shared" si="15"/>
        <v>465</v>
      </c>
      <c r="K129" s="55">
        <f t="shared" si="20"/>
        <v>411</v>
      </c>
      <c r="L129" s="55">
        <f t="shared" si="21"/>
        <v>0</v>
      </c>
      <c r="M129" s="55">
        <f t="shared" si="16"/>
        <v>170</v>
      </c>
      <c r="N129" s="55" t="str">
        <f t="shared" si="17"/>
        <v/>
      </c>
      <c r="O129" s="55">
        <f t="shared" si="18"/>
        <v>0</v>
      </c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</row>
    <row r="130" spans="1:54" x14ac:dyDescent="0.2">
      <c r="A130" s="31"/>
      <c r="B130" s="67">
        <v>111</v>
      </c>
      <c r="C130" s="51">
        <v>8</v>
      </c>
      <c r="D130" s="55">
        <v>13</v>
      </c>
      <c r="E130" s="37">
        <v>6</v>
      </c>
      <c r="F130" s="37">
        <f t="shared" si="19"/>
        <v>1</v>
      </c>
      <c r="G130" s="37" cm="1">
        <f t="array" ref="G130">IF(E130&lt;=INDEX($B$4:$B$17,C130),1,0)</f>
        <v>0</v>
      </c>
      <c r="H130" s="37">
        <f t="shared" si="14"/>
        <v>0</v>
      </c>
      <c r="I130" s="38">
        <f>I123</f>
        <v>149</v>
      </c>
      <c r="J130" s="55">
        <f t="shared" si="15"/>
        <v>411</v>
      </c>
      <c r="K130" s="55">
        <f t="shared" si="20"/>
        <v>560</v>
      </c>
      <c r="L130" s="55">
        <f t="shared" si="21"/>
        <v>0</v>
      </c>
      <c r="M130" s="55">
        <f t="shared" si="16"/>
        <v>170</v>
      </c>
      <c r="N130" s="55" t="str">
        <f t="shared" si="17"/>
        <v/>
      </c>
      <c r="O130" s="55">
        <f t="shared" si="18"/>
        <v>1</v>
      </c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</row>
    <row r="131" spans="1:54" x14ac:dyDescent="0.2">
      <c r="A131" s="31"/>
      <c r="B131" s="70">
        <v>112</v>
      </c>
      <c r="C131" s="52">
        <v>8</v>
      </c>
      <c r="D131" s="57">
        <v>14</v>
      </c>
      <c r="E131" s="37">
        <v>7</v>
      </c>
      <c r="F131" s="37">
        <f t="shared" si="19"/>
        <v>0</v>
      </c>
      <c r="G131" s="37" cm="1">
        <f t="array" ref="G131">IF(E131&lt;=INDEX($B$4:$B$17,C131),1,0)</f>
        <v>0</v>
      </c>
      <c r="H131" s="37">
        <f t="shared" si="14"/>
        <v>0</v>
      </c>
      <c r="I131" s="38">
        <f>IF(AND(sat_working=TRUE,E131=6),ROUNDDOWN(AVERAGE('Data for 2021'!I125:I129),0),'Data for 2021'!I130)</f>
        <v>0</v>
      </c>
      <c r="J131" s="55">
        <f t="shared" si="15"/>
        <v>560</v>
      </c>
      <c r="K131" s="55">
        <f t="shared" si="20"/>
        <v>560</v>
      </c>
      <c r="L131" s="55">
        <f t="shared" si="21"/>
        <v>0</v>
      </c>
      <c r="M131" s="55" t="str">
        <f t="shared" si="16"/>
        <v/>
      </c>
      <c r="N131" s="55" t="str">
        <f t="shared" si="17"/>
        <v/>
      </c>
      <c r="O131" s="55">
        <f t="shared" si="18"/>
        <v>0</v>
      </c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</row>
    <row r="132" spans="1:54" x14ac:dyDescent="0.2">
      <c r="A132" s="31" t="s">
        <v>92</v>
      </c>
      <c r="B132" s="67">
        <v>113</v>
      </c>
      <c r="C132" s="50">
        <v>9</v>
      </c>
      <c r="D132" s="53">
        <v>1</v>
      </c>
      <c r="E132" s="35">
        <v>1</v>
      </c>
      <c r="F132" s="35">
        <f t="shared" si="19"/>
        <v>1</v>
      </c>
      <c r="G132" s="35" cm="1">
        <f t="array" ref="G132">IF(E132&lt;=INDEX($B$4:$B$17,C132),1,0)</f>
        <v>1</v>
      </c>
      <c r="H132" s="37">
        <f t="shared" si="14"/>
        <v>170</v>
      </c>
      <c r="I132" s="38">
        <f>IF(AND(sat_working=TRUE,E132=6),ROUNDDOWN(AVERAGE('Data for 2021'!I126:I130),0),'Data for 2021'!I131)</f>
        <v>128</v>
      </c>
      <c r="J132" s="55">
        <f t="shared" si="15"/>
        <v>560</v>
      </c>
      <c r="K132" s="55">
        <f t="shared" si="20"/>
        <v>518</v>
      </c>
      <c r="L132" s="55">
        <f t="shared" si="21"/>
        <v>0</v>
      </c>
      <c r="M132" s="55" t="str">
        <f t="shared" si="16"/>
        <v/>
      </c>
      <c r="N132" s="55" t="str">
        <f t="shared" si="17"/>
        <v/>
      </c>
      <c r="O132" s="55">
        <f t="shared" si="18"/>
        <v>0</v>
      </c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</row>
    <row r="133" spans="1:54" x14ac:dyDescent="0.2">
      <c r="A133" s="31"/>
      <c r="B133" s="70">
        <v>114</v>
      </c>
      <c r="C133" s="51">
        <v>9</v>
      </c>
      <c r="D133" s="55">
        <v>2</v>
      </c>
      <c r="E133" s="37">
        <v>2</v>
      </c>
      <c r="F133" s="37">
        <f t="shared" si="19"/>
        <v>1</v>
      </c>
      <c r="G133" s="37" cm="1">
        <f t="array" ref="G133">IF(E133&lt;=INDEX($B$4:$B$17,C133),1,0)</f>
        <v>1</v>
      </c>
      <c r="H133" s="37">
        <f t="shared" si="14"/>
        <v>170</v>
      </c>
      <c r="I133" s="38">
        <f>IF(AND(sat_working=TRUE,E133=6),ROUNDDOWN(AVERAGE('Data for 2021'!I127:I131),0),'Data for 2021'!I132)</f>
        <v>178</v>
      </c>
      <c r="J133" s="55">
        <f t="shared" si="15"/>
        <v>518</v>
      </c>
      <c r="K133" s="55">
        <f t="shared" si="20"/>
        <v>526</v>
      </c>
      <c r="L133" s="55">
        <f t="shared" si="21"/>
        <v>0</v>
      </c>
      <c r="M133" s="55">
        <f t="shared" si="16"/>
        <v>170</v>
      </c>
      <c r="N133" s="55" t="str">
        <f t="shared" si="17"/>
        <v/>
      </c>
      <c r="O133" s="55">
        <f t="shared" si="18"/>
        <v>1</v>
      </c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</row>
    <row r="134" spans="1:54" x14ac:dyDescent="0.2">
      <c r="A134" s="31"/>
      <c r="B134" s="67">
        <v>115</v>
      </c>
      <c r="C134" s="51">
        <v>9</v>
      </c>
      <c r="D134" s="55">
        <v>3</v>
      </c>
      <c r="E134" s="37">
        <v>3</v>
      </c>
      <c r="F134" s="37">
        <f t="shared" si="19"/>
        <v>1</v>
      </c>
      <c r="G134" s="37" cm="1">
        <f t="array" ref="G134">IF(E134&lt;=INDEX($B$4:$B$17,C134),1,0)</f>
        <v>1</v>
      </c>
      <c r="H134" s="37">
        <f t="shared" si="14"/>
        <v>170</v>
      </c>
      <c r="I134" s="38">
        <f>IF(AND(sat_working=TRUE,E134=6),ROUNDDOWN(AVERAGE('Data for 2021'!I128:I132),0),'Data for 2021'!I133)</f>
        <v>172</v>
      </c>
      <c r="J134" s="55">
        <f t="shared" si="15"/>
        <v>526</v>
      </c>
      <c r="K134" s="55">
        <f t="shared" si="20"/>
        <v>528</v>
      </c>
      <c r="L134" s="55">
        <f t="shared" si="21"/>
        <v>0</v>
      </c>
      <c r="M134" s="55">
        <f t="shared" si="16"/>
        <v>170</v>
      </c>
      <c r="N134" s="55" t="str">
        <f t="shared" si="17"/>
        <v/>
      </c>
      <c r="O134" s="55">
        <f t="shared" si="18"/>
        <v>1</v>
      </c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</row>
    <row r="135" spans="1:54" x14ac:dyDescent="0.2">
      <c r="A135" s="31"/>
      <c r="B135" s="70">
        <v>116</v>
      </c>
      <c r="C135" s="51">
        <v>9</v>
      </c>
      <c r="D135" s="55">
        <v>4</v>
      </c>
      <c r="E135" s="37">
        <v>4</v>
      </c>
      <c r="F135" s="37">
        <f t="shared" si="19"/>
        <v>1</v>
      </c>
      <c r="G135" s="37" cm="1">
        <f t="array" ref="G135">IF(E135&lt;=INDEX($B$4:$B$17,C135),1,0)</f>
        <v>1</v>
      </c>
      <c r="H135" s="37">
        <f t="shared" si="14"/>
        <v>170</v>
      </c>
      <c r="I135" s="38">
        <f>IF(AND(sat_working=TRUE,E135=6),ROUNDDOWN(AVERAGE('Data for 2021'!I129:I133),0),'Data for 2021'!I134)</f>
        <v>173</v>
      </c>
      <c r="J135" s="55">
        <f t="shared" si="15"/>
        <v>528</v>
      </c>
      <c r="K135" s="55">
        <f t="shared" si="20"/>
        <v>531</v>
      </c>
      <c r="L135" s="55">
        <f t="shared" si="21"/>
        <v>0</v>
      </c>
      <c r="M135" s="55">
        <f t="shared" si="16"/>
        <v>170</v>
      </c>
      <c r="N135" s="55" t="str">
        <f t="shared" si="17"/>
        <v/>
      </c>
      <c r="O135" s="55">
        <f t="shared" si="18"/>
        <v>1</v>
      </c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</row>
    <row r="136" spans="1:54" x14ac:dyDescent="0.2">
      <c r="A136" s="31"/>
      <c r="B136" s="67">
        <v>117</v>
      </c>
      <c r="C136" s="51">
        <v>9</v>
      </c>
      <c r="D136" s="55">
        <v>5</v>
      </c>
      <c r="E136" s="37">
        <v>5</v>
      </c>
      <c r="F136" s="37">
        <f t="shared" si="19"/>
        <v>1</v>
      </c>
      <c r="G136" s="37" cm="1">
        <f t="array" ref="G136">IF(E136&lt;=INDEX($B$4:$B$17,C136),1,0)</f>
        <v>1</v>
      </c>
      <c r="H136" s="37">
        <f t="shared" si="14"/>
        <v>170</v>
      </c>
      <c r="I136" s="38">
        <f>IF(AND(sat_working=TRUE,E136=6),ROUNDDOWN(AVERAGE('Data for 2021'!I130:I134),0),'Data for 2021'!I135)</f>
        <v>146</v>
      </c>
      <c r="J136" s="55">
        <f t="shared" si="15"/>
        <v>531</v>
      </c>
      <c r="K136" s="55">
        <f t="shared" si="20"/>
        <v>507</v>
      </c>
      <c r="L136" s="55">
        <f t="shared" si="21"/>
        <v>0</v>
      </c>
      <c r="M136" s="55">
        <f t="shared" si="16"/>
        <v>170</v>
      </c>
      <c r="N136" s="55" t="str">
        <f t="shared" si="17"/>
        <v/>
      </c>
      <c r="O136" s="55">
        <f t="shared" si="18"/>
        <v>0</v>
      </c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</row>
    <row r="137" spans="1:54" x14ac:dyDescent="0.2">
      <c r="A137" s="31"/>
      <c r="B137" s="70">
        <v>118</v>
      </c>
      <c r="C137" s="51">
        <v>9</v>
      </c>
      <c r="D137" s="55">
        <v>6</v>
      </c>
      <c r="E137" s="37">
        <v>6</v>
      </c>
      <c r="F137" s="37">
        <f t="shared" si="19"/>
        <v>1</v>
      </c>
      <c r="G137" s="37" cm="1">
        <f t="array" ref="G137">IF(E137&lt;=INDEX($B$4:$B$17,C137),1,0)</f>
        <v>0</v>
      </c>
      <c r="H137" s="37">
        <f t="shared" si="14"/>
        <v>0</v>
      </c>
      <c r="I137" s="38">
        <f>IF(AND(sat_working=TRUE,E137=6),ROUNDDOWN(AVERAGE('Data for 2021'!I131:I135,'Data for 2021'!I138:I142),0),'Data for 2021'!I136)</f>
        <v>157</v>
      </c>
      <c r="J137" s="55">
        <f t="shared" si="15"/>
        <v>507</v>
      </c>
      <c r="K137" s="55">
        <f t="shared" si="20"/>
        <v>664</v>
      </c>
      <c r="L137" s="55">
        <f t="shared" si="21"/>
        <v>0</v>
      </c>
      <c r="M137" s="55">
        <f t="shared" si="16"/>
        <v>170</v>
      </c>
      <c r="N137" s="55" t="str">
        <f t="shared" si="17"/>
        <v/>
      </c>
      <c r="O137" s="55">
        <f t="shared" si="18"/>
        <v>1</v>
      </c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</row>
    <row r="138" spans="1:54" x14ac:dyDescent="0.2">
      <c r="A138" s="31"/>
      <c r="B138" s="67">
        <v>119</v>
      </c>
      <c r="C138" s="51">
        <v>9</v>
      </c>
      <c r="D138" s="55">
        <v>7</v>
      </c>
      <c r="E138" s="37">
        <v>7</v>
      </c>
      <c r="F138" s="37">
        <f t="shared" si="19"/>
        <v>0</v>
      </c>
      <c r="G138" s="37" cm="1">
        <f t="array" ref="G138">IF(E138&lt;=INDEX($B$4:$B$17,C138),1,0)</f>
        <v>0</v>
      </c>
      <c r="H138" s="37">
        <f t="shared" si="14"/>
        <v>0</v>
      </c>
      <c r="I138" s="38">
        <f>IF(AND(sat_working=TRUE,E138=6),ROUNDDOWN(AVERAGE('Data for 2021'!I132:I136),0),'Data for 2021'!I137)</f>
        <v>0</v>
      </c>
      <c r="J138" s="55">
        <f t="shared" si="15"/>
        <v>664</v>
      </c>
      <c r="K138" s="55">
        <f t="shared" si="20"/>
        <v>664</v>
      </c>
      <c r="L138" s="55">
        <f t="shared" si="21"/>
        <v>0</v>
      </c>
      <c r="M138" s="55" t="str">
        <f t="shared" si="16"/>
        <v/>
      </c>
      <c r="N138" s="55" t="str">
        <f t="shared" si="17"/>
        <v/>
      </c>
      <c r="O138" s="55">
        <f t="shared" si="18"/>
        <v>0</v>
      </c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</row>
    <row r="139" spans="1:54" x14ac:dyDescent="0.2">
      <c r="A139" s="31"/>
      <c r="B139" s="70">
        <v>120</v>
      </c>
      <c r="C139" s="51">
        <v>9</v>
      </c>
      <c r="D139" s="55">
        <v>8</v>
      </c>
      <c r="E139" s="35">
        <v>1</v>
      </c>
      <c r="F139" s="35">
        <f t="shared" si="19"/>
        <v>1</v>
      </c>
      <c r="G139" s="37" cm="1">
        <f t="array" ref="G139">IF(E139&lt;=INDEX($B$4:$B$17,C139),1,0)</f>
        <v>1</v>
      </c>
      <c r="H139" s="37">
        <f t="shared" si="14"/>
        <v>170</v>
      </c>
      <c r="I139" s="38">
        <f>IF(AND(sat_working=TRUE,E139=6),ROUNDDOWN(AVERAGE('Data for 2021'!I133:I137),0),'Data for 2021'!I138)</f>
        <v>155</v>
      </c>
      <c r="J139" s="55">
        <f t="shared" si="15"/>
        <v>664</v>
      </c>
      <c r="K139" s="55">
        <f t="shared" si="20"/>
        <v>649</v>
      </c>
      <c r="L139" s="55">
        <f t="shared" si="21"/>
        <v>0</v>
      </c>
      <c r="M139" s="55" t="str">
        <f t="shared" si="16"/>
        <v/>
      </c>
      <c r="N139" s="55" t="str">
        <f t="shared" si="17"/>
        <v/>
      </c>
      <c r="O139" s="55">
        <f t="shared" si="18"/>
        <v>0</v>
      </c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</row>
    <row r="140" spans="1:54" x14ac:dyDescent="0.2">
      <c r="A140" s="31"/>
      <c r="B140" s="67">
        <v>121</v>
      </c>
      <c r="C140" s="51">
        <v>9</v>
      </c>
      <c r="D140" s="55">
        <v>9</v>
      </c>
      <c r="E140" s="37">
        <v>2</v>
      </c>
      <c r="F140" s="37">
        <f t="shared" si="19"/>
        <v>1</v>
      </c>
      <c r="G140" s="37" cm="1">
        <f t="array" ref="G140">IF(E140&lt;=INDEX($B$4:$B$17,C140),1,0)</f>
        <v>1</v>
      </c>
      <c r="H140" s="37">
        <f t="shared" si="14"/>
        <v>170</v>
      </c>
      <c r="I140" s="38">
        <f>IF(AND(sat_working=TRUE,E140=6),ROUNDDOWN(AVERAGE('Data for 2021'!I134:I138),0),'Data for 2021'!I139)</f>
        <v>133</v>
      </c>
      <c r="J140" s="55">
        <f t="shared" si="15"/>
        <v>649</v>
      </c>
      <c r="K140" s="55">
        <f t="shared" si="20"/>
        <v>612</v>
      </c>
      <c r="L140" s="55">
        <f t="shared" si="21"/>
        <v>0</v>
      </c>
      <c r="M140" s="55">
        <f t="shared" si="16"/>
        <v>170</v>
      </c>
      <c r="N140" s="55" t="str">
        <f t="shared" si="17"/>
        <v/>
      </c>
      <c r="O140" s="55">
        <f t="shared" si="18"/>
        <v>0</v>
      </c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</row>
    <row r="141" spans="1:54" x14ac:dyDescent="0.2">
      <c r="A141" s="31"/>
      <c r="B141" s="70">
        <v>122</v>
      </c>
      <c r="C141" s="51">
        <v>9</v>
      </c>
      <c r="D141" s="55">
        <v>10</v>
      </c>
      <c r="E141" s="37">
        <v>3</v>
      </c>
      <c r="F141" s="37">
        <f t="shared" si="19"/>
        <v>1</v>
      </c>
      <c r="G141" s="37" cm="1">
        <f t="array" ref="G141">IF(E141&lt;=INDEX($B$4:$B$17,C141),1,0)</f>
        <v>1</v>
      </c>
      <c r="H141" s="37">
        <f t="shared" si="14"/>
        <v>170</v>
      </c>
      <c r="I141" s="38">
        <f>IF(AND(sat_working=TRUE,E141=6),ROUNDDOWN(AVERAGE('Data for 2021'!I135:I139),0),'Data for 2021'!I140)</f>
        <v>169</v>
      </c>
      <c r="J141" s="55">
        <f t="shared" si="15"/>
        <v>612</v>
      </c>
      <c r="K141" s="55">
        <f t="shared" si="20"/>
        <v>611</v>
      </c>
      <c r="L141" s="55">
        <f t="shared" si="21"/>
        <v>0</v>
      </c>
      <c r="M141" s="55">
        <f t="shared" si="16"/>
        <v>170</v>
      </c>
      <c r="N141" s="55" t="str">
        <f t="shared" si="17"/>
        <v/>
      </c>
      <c r="O141" s="55">
        <f t="shared" si="18"/>
        <v>0</v>
      </c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</row>
    <row r="142" spans="1:54" x14ac:dyDescent="0.2">
      <c r="A142" s="31"/>
      <c r="B142" s="67">
        <v>123</v>
      </c>
      <c r="C142" s="51">
        <v>9</v>
      </c>
      <c r="D142" s="55">
        <v>11</v>
      </c>
      <c r="E142" s="37">
        <v>4</v>
      </c>
      <c r="F142" s="37">
        <f t="shared" si="19"/>
        <v>1</v>
      </c>
      <c r="G142" s="37" cm="1">
        <f t="array" ref="G142">IF(E142&lt;=INDEX($B$4:$B$17,C142),1,0)</f>
        <v>1</v>
      </c>
      <c r="H142" s="37">
        <f t="shared" si="14"/>
        <v>170</v>
      </c>
      <c r="I142" s="38">
        <f>IF(AND(sat_working=TRUE,E142=6),ROUNDDOWN(AVERAGE('Data for 2021'!I136:I140),0),'Data for 2021'!I141)</f>
        <v>133</v>
      </c>
      <c r="J142" s="55">
        <f t="shared" si="15"/>
        <v>611</v>
      </c>
      <c r="K142" s="55">
        <f t="shared" si="20"/>
        <v>574</v>
      </c>
      <c r="L142" s="55">
        <f t="shared" si="21"/>
        <v>0</v>
      </c>
      <c r="M142" s="55">
        <f t="shared" si="16"/>
        <v>170</v>
      </c>
      <c r="N142" s="55" t="str">
        <f t="shared" si="17"/>
        <v/>
      </c>
      <c r="O142" s="55">
        <f t="shared" si="18"/>
        <v>0</v>
      </c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</row>
    <row r="143" spans="1:54" x14ac:dyDescent="0.2">
      <c r="A143" s="31"/>
      <c r="B143" s="70">
        <v>124</v>
      </c>
      <c r="C143" s="51">
        <v>9</v>
      </c>
      <c r="D143" s="55">
        <v>12</v>
      </c>
      <c r="E143" s="37">
        <v>5</v>
      </c>
      <c r="F143" s="37">
        <f t="shared" si="19"/>
        <v>1</v>
      </c>
      <c r="G143" s="37" cm="1">
        <f t="array" ref="G143">IF(E143&lt;=INDEX($B$4:$B$17,C143),1,0)</f>
        <v>1</v>
      </c>
      <c r="H143" s="37">
        <f t="shared" si="14"/>
        <v>170</v>
      </c>
      <c r="I143" s="38">
        <f>IF(AND(sat_working=TRUE,E143=6),ROUNDDOWN(AVERAGE('Data for 2021'!I137:I141),0),'Data for 2021'!I142)</f>
        <v>191</v>
      </c>
      <c r="J143" s="55">
        <f t="shared" si="15"/>
        <v>574</v>
      </c>
      <c r="K143" s="55">
        <f t="shared" si="20"/>
        <v>595</v>
      </c>
      <c r="L143" s="55">
        <f t="shared" si="21"/>
        <v>0</v>
      </c>
      <c r="M143" s="55">
        <f t="shared" si="16"/>
        <v>170</v>
      </c>
      <c r="N143" s="55" t="str">
        <f t="shared" si="17"/>
        <v/>
      </c>
      <c r="O143" s="55">
        <f t="shared" si="18"/>
        <v>1</v>
      </c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</row>
    <row r="144" spans="1:54" x14ac:dyDescent="0.2">
      <c r="A144" s="31"/>
      <c r="B144" s="67">
        <v>125</v>
      </c>
      <c r="C144" s="51">
        <v>9</v>
      </c>
      <c r="D144" s="55">
        <v>13</v>
      </c>
      <c r="E144" s="37">
        <v>6</v>
      </c>
      <c r="F144" s="37">
        <f t="shared" si="19"/>
        <v>1</v>
      </c>
      <c r="G144" s="37" cm="1">
        <f t="array" ref="G144">IF(E144&lt;=INDEX($B$4:$B$17,C144),1,0)</f>
        <v>0</v>
      </c>
      <c r="H144" s="37">
        <f t="shared" si="14"/>
        <v>0</v>
      </c>
      <c r="I144" s="38">
        <f>I137</f>
        <v>157</v>
      </c>
      <c r="J144" s="55">
        <f t="shared" si="15"/>
        <v>595</v>
      </c>
      <c r="K144" s="55">
        <f t="shared" si="20"/>
        <v>752</v>
      </c>
      <c r="L144" s="55">
        <f t="shared" si="21"/>
        <v>0</v>
      </c>
      <c r="M144" s="55">
        <f t="shared" si="16"/>
        <v>170</v>
      </c>
      <c r="N144" s="55" t="str">
        <f t="shared" si="17"/>
        <v/>
      </c>
      <c r="O144" s="55">
        <f t="shared" si="18"/>
        <v>1</v>
      </c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</row>
    <row r="145" spans="1:54" x14ac:dyDescent="0.2">
      <c r="A145" s="31"/>
      <c r="B145" s="70">
        <v>126</v>
      </c>
      <c r="C145" s="52">
        <v>9</v>
      </c>
      <c r="D145" s="57">
        <v>14</v>
      </c>
      <c r="E145" s="37">
        <v>7</v>
      </c>
      <c r="F145" s="37">
        <f t="shared" si="19"/>
        <v>0</v>
      </c>
      <c r="G145" s="37" cm="1">
        <f t="array" ref="G145">IF(E145&lt;=INDEX($B$4:$B$17,C145),1,0)</f>
        <v>0</v>
      </c>
      <c r="H145" s="37">
        <f t="shared" si="14"/>
        <v>0</v>
      </c>
      <c r="I145" s="38">
        <f>IF(AND(sat_working=TRUE,E145=6),ROUNDDOWN(AVERAGE('Data for 2021'!I139:I143),0),'Data for 2021'!I144)</f>
        <v>0</v>
      </c>
      <c r="J145" s="55">
        <f t="shared" si="15"/>
        <v>752</v>
      </c>
      <c r="K145" s="55">
        <f t="shared" si="20"/>
        <v>752</v>
      </c>
      <c r="L145" s="55">
        <f t="shared" si="21"/>
        <v>0</v>
      </c>
      <c r="M145" s="55" t="str">
        <f t="shared" si="16"/>
        <v/>
      </c>
      <c r="N145" s="55" t="str">
        <f t="shared" si="17"/>
        <v/>
      </c>
      <c r="O145" s="55">
        <f t="shared" si="18"/>
        <v>0</v>
      </c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</row>
    <row r="146" spans="1:54" x14ac:dyDescent="0.2">
      <c r="A146" s="31" t="s">
        <v>75</v>
      </c>
      <c r="B146" s="67">
        <v>127</v>
      </c>
      <c r="C146" s="50">
        <v>10</v>
      </c>
      <c r="D146" s="53">
        <v>1</v>
      </c>
      <c r="E146" s="35">
        <v>1</v>
      </c>
      <c r="F146" s="35">
        <f t="shared" si="19"/>
        <v>1</v>
      </c>
      <c r="G146" s="35" cm="1">
        <f t="array" ref="G146">IF(E146&lt;=INDEX($B$4:$B$17,C146),1,0)</f>
        <v>1</v>
      </c>
      <c r="H146" s="37">
        <f t="shared" si="14"/>
        <v>170</v>
      </c>
      <c r="I146" s="38">
        <f>IF(AND(sat_working=TRUE,E146=6),ROUNDDOWN(AVERAGE('Data for 2021'!I140:I144),0),'Data for 2021'!I145)</f>
        <v>159</v>
      </c>
      <c r="J146" s="55">
        <f t="shared" si="15"/>
        <v>752</v>
      </c>
      <c r="K146" s="55">
        <f t="shared" si="20"/>
        <v>741</v>
      </c>
      <c r="L146" s="55">
        <f t="shared" si="21"/>
        <v>0</v>
      </c>
      <c r="M146" s="55" t="str">
        <f t="shared" si="16"/>
        <v/>
      </c>
      <c r="N146" s="55" t="str">
        <f t="shared" si="17"/>
        <v/>
      </c>
      <c r="O146" s="55">
        <f t="shared" si="18"/>
        <v>0</v>
      </c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</row>
    <row r="147" spans="1:54" x14ac:dyDescent="0.2">
      <c r="A147" s="31"/>
      <c r="B147" s="70">
        <v>128</v>
      </c>
      <c r="C147" s="51">
        <v>10</v>
      </c>
      <c r="D147" s="55">
        <v>2</v>
      </c>
      <c r="E147" s="37">
        <v>2</v>
      </c>
      <c r="F147" s="37">
        <f t="shared" si="19"/>
        <v>1</v>
      </c>
      <c r="G147" s="37" cm="1">
        <f t="array" ref="G147">IF(E147&lt;=INDEX($B$4:$B$17,C147),1,0)</f>
        <v>1</v>
      </c>
      <c r="H147" s="37">
        <f t="shared" si="14"/>
        <v>170</v>
      </c>
      <c r="I147" s="38">
        <f>IF(AND(sat_working=TRUE,E147=6),ROUNDDOWN(AVERAGE('Data for 2021'!I141:I145),0),'Data for 2021'!I146)</f>
        <v>134</v>
      </c>
      <c r="J147" s="55">
        <f t="shared" si="15"/>
        <v>741</v>
      </c>
      <c r="K147" s="55">
        <f t="shared" si="20"/>
        <v>705</v>
      </c>
      <c r="L147" s="55">
        <f t="shared" si="21"/>
        <v>0</v>
      </c>
      <c r="M147" s="55">
        <f t="shared" si="16"/>
        <v>170</v>
      </c>
      <c r="N147" s="55" t="str">
        <f t="shared" si="17"/>
        <v/>
      </c>
      <c r="O147" s="55">
        <f t="shared" si="18"/>
        <v>0</v>
      </c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</row>
    <row r="148" spans="1:54" x14ac:dyDescent="0.2">
      <c r="A148" s="31"/>
      <c r="B148" s="67">
        <v>129</v>
      </c>
      <c r="C148" s="51">
        <v>10</v>
      </c>
      <c r="D148" s="55">
        <v>3</v>
      </c>
      <c r="E148" s="37">
        <v>3</v>
      </c>
      <c r="F148" s="37">
        <f t="shared" ref="F148:F179" si="22">IF(OR(I148&lt;&gt;0,(AND(sat_working=TRUE,E148=6))),1,0)</f>
        <v>1</v>
      </c>
      <c r="G148" s="37" cm="1">
        <f t="array" ref="G148">IF(E148&lt;=INDEX($B$4:$B$17,C148),1,0)</f>
        <v>1</v>
      </c>
      <c r="H148" s="37">
        <f t="shared" si="14"/>
        <v>170</v>
      </c>
      <c r="I148" s="38">
        <f>IF(AND(sat_working=TRUE,E148=6),ROUNDDOWN(AVERAGE('Data for 2021'!I142:I146),0),'Data for 2021'!I147)</f>
        <v>23</v>
      </c>
      <c r="J148" s="55">
        <f t="shared" si="15"/>
        <v>705</v>
      </c>
      <c r="K148" s="55">
        <f t="shared" ref="K148:K179" si="23">J148+I148-H148</f>
        <v>558</v>
      </c>
      <c r="L148" s="55">
        <f t="shared" si="21"/>
        <v>0</v>
      </c>
      <c r="M148" s="55">
        <f t="shared" si="16"/>
        <v>170</v>
      </c>
      <c r="N148" s="55" t="str">
        <f t="shared" si="17"/>
        <v/>
      </c>
      <c r="O148" s="55">
        <f t="shared" si="18"/>
        <v>0</v>
      </c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</row>
    <row r="149" spans="1:54" x14ac:dyDescent="0.2">
      <c r="A149" s="31"/>
      <c r="B149" s="70">
        <v>130</v>
      </c>
      <c r="C149" s="51">
        <v>10</v>
      </c>
      <c r="D149" s="55">
        <v>4</v>
      </c>
      <c r="E149" s="37">
        <v>4</v>
      </c>
      <c r="F149" s="37">
        <f t="shared" si="22"/>
        <v>1</v>
      </c>
      <c r="G149" s="37" cm="1">
        <f t="array" ref="G149">IF(E149&lt;=INDEX($B$4:$B$17,C149),1,0)</f>
        <v>1</v>
      </c>
      <c r="H149" s="37">
        <f t="shared" si="14"/>
        <v>170</v>
      </c>
      <c r="I149" s="38">
        <f>IF(AND(sat_working=TRUE,E149=6),ROUNDDOWN(AVERAGE('Data for 2021'!I143:I147),0),'Data for 2021'!I148)</f>
        <v>211</v>
      </c>
      <c r="J149" s="55">
        <f t="shared" si="15"/>
        <v>558</v>
      </c>
      <c r="K149" s="55">
        <f t="shared" si="23"/>
        <v>599</v>
      </c>
      <c r="L149" s="55">
        <f t="shared" ref="L149:L180" si="24">IF(AND(H149=J149,G149),1,0)</f>
        <v>0</v>
      </c>
      <c r="M149" s="55">
        <f t="shared" si="16"/>
        <v>170</v>
      </c>
      <c r="N149" s="55" t="str">
        <f t="shared" si="17"/>
        <v/>
      </c>
      <c r="O149" s="55">
        <f t="shared" si="18"/>
        <v>1</v>
      </c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</row>
    <row r="150" spans="1:54" x14ac:dyDescent="0.2">
      <c r="A150" s="31"/>
      <c r="B150" s="67">
        <v>131</v>
      </c>
      <c r="C150" s="51">
        <v>10</v>
      </c>
      <c r="D150" s="55">
        <v>5</v>
      </c>
      <c r="E150" s="37">
        <v>5</v>
      </c>
      <c r="F150" s="37">
        <f t="shared" si="22"/>
        <v>1</v>
      </c>
      <c r="G150" s="37" cm="1">
        <f t="array" ref="G150">IF(E150&lt;=INDEX($B$4:$B$17,C150),1,0)</f>
        <v>1</v>
      </c>
      <c r="H150" s="37">
        <f t="shared" ref="H150:H213" si="25">IF(G150=1,MIN(J150,$H$12),0)</f>
        <v>170</v>
      </c>
      <c r="I150" s="38">
        <f>IF(AND(sat_working=TRUE,E150=6),ROUNDDOWN(AVERAGE('Data for 2021'!I144:I148),0),'Data for 2021'!I149)</f>
        <v>162</v>
      </c>
      <c r="J150" s="55">
        <f t="shared" ref="J150:J213" si="26">K149</f>
        <v>599</v>
      </c>
      <c r="K150" s="55">
        <f t="shared" si="23"/>
        <v>591</v>
      </c>
      <c r="L150" s="55">
        <f t="shared" si="24"/>
        <v>0</v>
      </c>
      <c r="M150" s="55">
        <f t="shared" ref="M150:M213" si="27">IF(OR(G149=0,L149=1),"",H149)</f>
        <v>170</v>
      </c>
      <c r="N150" s="55" t="str">
        <f t="shared" ref="N150:N213" si="28">IF(AND(G150=1,L150=1),H150,"")</f>
        <v/>
      </c>
      <c r="O150" s="55">
        <f t="shared" ref="O150:O213" si="29">IF(AND(K150&gt;K149,F150=1),1,0)</f>
        <v>0</v>
      </c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</row>
    <row r="151" spans="1:54" x14ac:dyDescent="0.2">
      <c r="A151" s="31"/>
      <c r="B151" s="70">
        <v>132</v>
      </c>
      <c r="C151" s="51">
        <v>10</v>
      </c>
      <c r="D151" s="55">
        <v>6</v>
      </c>
      <c r="E151" s="37">
        <v>6</v>
      </c>
      <c r="F151" s="37">
        <f t="shared" si="22"/>
        <v>1</v>
      </c>
      <c r="G151" s="37" cm="1">
        <f t="array" ref="G151">IF(E151&lt;=INDEX($B$4:$B$17,C151),1,0)</f>
        <v>0</v>
      </c>
      <c r="H151" s="37">
        <f t="shared" si="25"/>
        <v>0</v>
      </c>
      <c r="I151" s="38">
        <f>IF(AND(sat_working=TRUE,E151=6),ROUNDDOWN(AVERAGE('Data for 2021'!I145:I149,'Data for 2021'!I152:I156),0),'Data for 2021'!I150)</f>
        <v>146</v>
      </c>
      <c r="J151" s="55">
        <f t="shared" si="26"/>
        <v>591</v>
      </c>
      <c r="K151" s="55">
        <f t="shared" si="23"/>
        <v>737</v>
      </c>
      <c r="L151" s="55">
        <f t="shared" si="24"/>
        <v>0</v>
      </c>
      <c r="M151" s="55">
        <f t="shared" si="27"/>
        <v>170</v>
      </c>
      <c r="N151" s="55" t="str">
        <f t="shared" si="28"/>
        <v/>
      </c>
      <c r="O151" s="55">
        <f t="shared" si="29"/>
        <v>1</v>
      </c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</row>
    <row r="152" spans="1:54" x14ac:dyDescent="0.2">
      <c r="A152" s="31"/>
      <c r="B152" s="67">
        <v>133</v>
      </c>
      <c r="C152" s="51">
        <v>10</v>
      </c>
      <c r="D152" s="55">
        <v>7</v>
      </c>
      <c r="E152" s="37">
        <v>7</v>
      </c>
      <c r="F152" s="37">
        <f t="shared" si="22"/>
        <v>0</v>
      </c>
      <c r="G152" s="37" cm="1">
        <f t="array" ref="G152">IF(E152&lt;=INDEX($B$4:$B$17,C152),1,0)</f>
        <v>0</v>
      </c>
      <c r="H152" s="37">
        <f t="shared" si="25"/>
        <v>0</v>
      </c>
      <c r="I152" s="38">
        <f>IF(AND(sat_working=TRUE,E152=6),ROUNDDOWN(AVERAGE('Data for 2021'!I146:I150),0),'Data for 2021'!I151)</f>
        <v>0</v>
      </c>
      <c r="J152" s="55">
        <f t="shared" si="26"/>
        <v>737</v>
      </c>
      <c r="K152" s="55">
        <f t="shared" si="23"/>
        <v>737</v>
      </c>
      <c r="L152" s="55">
        <f t="shared" si="24"/>
        <v>0</v>
      </c>
      <c r="M152" s="55" t="str">
        <f t="shared" si="27"/>
        <v/>
      </c>
      <c r="N152" s="55" t="str">
        <f t="shared" si="28"/>
        <v/>
      </c>
      <c r="O152" s="55">
        <f t="shared" si="29"/>
        <v>0</v>
      </c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</row>
    <row r="153" spans="1:54" x14ac:dyDescent="0.2">
      <c r="A153" s="31"/>
      <c r="B153" s="70">
        <v>134</v>
      </c>
      <c r="C153" s="51">
        <v>10</v>
      </c>
      <c r="D153" s="55">
        <v>8</v>
      </c>
      <c r="E153" s="35">
        <v>1</v>
      </c>
      <c r="F153" s="35">
        <f t="shared" si="22"/>
        <v>1</v>
      </c>
      <c r="G153" s="37" cm="1">
        <f t="array" ref="G153">IF(E153&lt;=INDEX($B$4:$B$17,C153),1,0)</f>
        <v>1</v>
      </c>
      <c r="H153" s="37">
        <f t="shared" si="25"/>
        <v>170</v>
      </c>
      <c r="I153" s="38">
        <f>IF(AND(sat_working=TRUE,E153=6),ROUNDDOWN(AVERAGE('Data for 2021'!I147:I151),0),'Data for 2021'!I152)</f>
        <v>156</v>
      </c>
      <c r="J153" s="55">
        <f t="shared" si="26"/>
        <v>737</v>
      </c>
      <c r="K153" s="55">
        <f t="shared" si="23"/>
        <v>723</v>
      </c>
      <c r="L153" s="55">
        <f t="shared" si="24"/>
        <v>0</v>
      </c>
      <c r="M153" s="55" t="str">
        <f t="shared" si="27"/>
        <v/>
      </c>
      <c r="N153" s="55" t="str">
        <f t="shared" si="28"/>
        <v/>
      </c>
      <c r="O153" s="55">
        <f t="shared" si="29"/>
        <v>0</v>
      </c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</row>
    <row r="154" spans="1:54" x14ac:dyDescent="0.2">
      <c r="A154" s="31"/>
      <c r="B154" s="67">
        <v>135</v>
      </c>
      <c r="C154" s="51">
        <v>10</v>
      </c>
      <c r="D154" s="55">
        <v>9</v>
      </c>
      <c r="E154" s="37">
        <v>2</v>
      </c>
      <c r="F154" s="37">
        <f t="shared" si="22"/>
        <v>1</v>
      </c>
      <c r="G154" s="37" cm="1">
        <f t="array" ref="G154">IF(E154&lt;=INDEX($B$4:$B$17,C154),1,0)</f>
        <v>1</v>
      </c>
      <c r="H154" s="37">
        <f t="shared" si="25"/>
        <v>170</v>
      </c>
      <c r="I154" s="38">
        <f>IF(AND(sat_working=TRUE,E154=6),ROUNDDOWN(AVERAGE('Data for 2021'!I148:I152),0),'Data for 2021'!I153)</f>
        <v>181</v>
      </c>
      <c r="J154" s="55">
        <f t="shared" si="26"/>
        <v>723</v>
      </c>
      <c r="K154" s="55">
        <f t="shared" si="23"/>
        <v>734</v>
      </c>
      <c r="L154" s="55">
        <f t="shared" si="24"/>
        <v>0</v>
      </c>
      <c r="M154" s="55">
        <f t="shared" si="27"/>
        <v>170</v>
      </c>
      <c r="N154" s="55" t="str">
        <f t="shared" si="28"/>
        <v/>
      </c>
      <c r="O154" s="55">
        <f t="shared" si="29"/>
        <v>1</v>
      </c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</row>
    <row r="155" spans="1:54" x14ac:dyDescent="0.2">
      <c r="A155" s="31"/>
      <c r="B155" s="70">
        <v>136</v>
      </c>
      <c r="C155" s="51">
        <v>10</v>
      </c>
      <c r="D155" s="55">
        <v>10</v>
      </c>
      <c r="E155" s="37">
        <v>3</v>
      </c>
      <c r="F155" s="37">
        <f t="shared" si="22"/>
        <v>1</v>
      </c>
      <c r="G155" s="37" cm="1">
        <f t="array" ref="G155">IF(E155&lt;=INDEX($B$4:$B$17,C155),1,0)</f>
        <v>1</v>
      </c>
      <c r="H155" s="37">
        <f t="shared" si="25"/>
        <v>170</v>
      </c>
      <c r="I155" s="38">
        <f>IF(AND(sat_working=TRUE,E155=6),ROUNDDOWN(AVERAGE('Data for 2021'!I149:I153),0),'Data for 2021'!I154)</f>
        <v>155</v>
      </c>
      <c r="J155" s="55">
        <f t="shared" si="26"/>
        <v>734</v>
      </c>
      <c r="K155" s="55">
        <f t="shared" si="23"/>
        <v>719</v>
      </c>
      <c r="L155" s="55">
        <f t="shared" si="24"/>
        <v>0</v>
      </c>
      <c r="M155" s="55">
        <f t="shared" si="27"/>
        <v>170</v>
      </c>
      <c r="N155" s="55" t="str">
        <f t="shared" si="28"/>
        <v/>
      </c>
      <c r="O155" s="55">
        <f t="shared" si="29"/>
        <v>0</v>
      </c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</row>
    <row r="156" spans="1:54" x14ac:dyDescent="0.2">
      <c r="A156" s="31"/>
      <c r="B156" s="67">
        <v>137</v>
      </c>
      <c r="C156" s="51">
        <v>10</v>
      </c>
      <c r="D156" s="55">
        <v>11</v>
      </c>
      <c r="E156" s="37">
        <v>4</v>
      </c>
      <c r="F156" s="37">
        <f t="shared" si="22"/>
        <v>1</v>
      </c>
      <c r="G156" s="37" cm="1">
        <f t="array" ref="G156">IF(E156&lt;=INDEX($B$4:$B$17,C156),1,0)</f>
        <v>1</v>
      </c>
      <c r="H156" s="37">
        <f t="shared" si="25"/>
        <v>170</v>
      </c>
      <c r="I156" s="38">
        <f>IF(AND(sat_working=TRUE,E156=6),ROUNDDOWN(AVERAGE('Data for 2021'!I150:I154),0),'Data for 2021'!I155)</f>
        <v>143</v>
      </c>
      <c r="J156" s="55">
        <f t="shared" si="26"/>
        <v>719</v>
      </c>
      <c r="K156" s="55">
        <f t="shared" si="23"/>
        <v>692</v>
      </c>
      <c r="L156" s="55">
        <f t="shared" si="24"/>
        <v>0</v>
      </c>
      <c r="M156" s="55">
        <f t="shared" si="27"/>
        <v>170</v>
      </c>
      <c r="N156" s="55" t="str">
        <f t="shared" si="28"/>
        <v/>
      </c>
      <c r="O156" s="55">
        <f t="shared" si="29"/>
        <v>0</v>
      </c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</row>
    <row r="157" spans="1:54" x14ac:dyDescent="0.2">
      <c r="A157" s="31"/>
      <c r="B157" s="70">
        <v>138</v>
      </c>
      <c r="C157" s="51">
        <v>10</v>
      </c>
      <c r="D157" s="55">
        <v>12</v>
      </c>
      <c r="E157" s="37">
        <v>5</v>
      </c>
      <c r="F157" s="37">
        <f t="shared" si="22"/>
        <v>1</v>
      </c>
      <c r="G157" s="37" cm="1">
        <f t="array" ref="G157">IF(E157&lt;=INDEX($B$4:$B$17,C157),1,0)</f>
        <v>1</v>
      </c>
      <c r="H157" s="37">
        <f t="shared" si="25"/>
        <v>170</v>
      </c>
      <c r="I157" s="38">
        <f>IF(AND(sat_working=TRUE,E157=6),ROUNDDOWN(AVERAGE('Data for 2021'!I151:I155),0),'Data for 2021'!I156)</f>
        <v>141</v>
      </c>
      <c r="J157" s="55">
        <f t="shared" si="26"/>
        <v>692</v>
      </c>
      <c r="K157" s="55">
        <f t="shared" si="23"/>
        <v>663</v>
      </c>
      <c r="L157" s="55">
        <f t="shared" si="24"/>
        <v>0</v>
      </c>
      <c r="M157" s="55">
        <f t="shared" si="27"/>
        <v>170</v>
      </c>
      <c r="N157" s="55" t="str">
        <f t="shared" si="28"/>
        <v/>
      </c>
      <c r="O157" s="55">
        <f t="shared" si="29"/>
        <v>0</v>
      </c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</row>
    <row r="158" spans="1:54" x14ac:dyDescent="0.2">
      <c r="A158" s="31"/>
      <c r="B158" s="67">
        <v>139</v>
      </c>
      <c r="C158" s="51">
        <v>10</v>
      </c>
      <c r="D158" s="55">
        <v>13</v>
      </c>
      <c r="E158" s="37">
        <v>6</v>
      </c>
      <c r="F158" s="37">
        <f t="shared" si="22"/>
        <v>1</v>
      </c>
      <c r="G158" s="37" cm="1">
        <f t="array" ref="G158">IF(E158&lt;=INDEX($B$4:$B$17,C158),1,0)</f>
        <v>0</v>
      </c>
      <c r="H158" s="37">
        <f t="shared" si="25"/>
        <v>0</v>
      </c>
      <c r="I158" s="38">
        <f>I151</f>
        <v>146</v>
      </c>
      <c r="J158" s="55">
        <f t="shared" si="26"/>
        <v>663</v>
      </c>
      <c r="K158" s="55">
        <f t="shared" si="23"/>
        <v>809</v>
      </c>
      <c r="L158" s="55">
        <f t="shared" si="24"/>
        <v>0</v>
      </c>
      <c r="M158" s="55">
        <f t="shared" si="27"/>
        <v>170</v>
      </c>
      <c r="N158" s="55" t="str">
        <f t="shared" si="28"/>
        <v/>
      </c>
      <c r="O158" s="55">
        <f t="shared" si="29"/>
        <v>1</v>
      </c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</row>
    <row r="159" spans="1:54" x14ac:dyDescent="0.2">
      <c r="A159" s="31"/>
      <c r="B159" s="70">
        <v>140</v>
      </c>
      <c r="C159" s="52">
        <v>10</v>
      </c>
      <c r="D159" s="57">
        <v>14</v>
      </c>
      <c r="E159" s="37">
        <v>7</v>
      </c>
      <c r="F159" s="37">
        <f t="shared" si="22"/>
        <v>0</v>
      </c>
      <c r="G159" s="37" cm="1">
        <f t="array" ref="G159">IF(E159&lt;=INDEX($B$4:$B$17,C159),1,0)</f>
        <v>0</v>
      </c>
      <c r="H159" s="37">
        <f t="shared" si="25"/>
        <v>0</v>
      </c>
      <c r="I159" s="38">
        <f>IF(AND(sat_working=TRUE,E159=6),ROUNDDOWN(AVERAGE('Data for 2021'!I153:I157),0),'Data for 2021'!I158)</f>
        <v>0</v>
      </c>
      <c r="J159" s="55">
        <f t="shared" si="26"/>
        <v>809</v>
      </c>
      <c r="K159" s="55">
        <f t="shared" si="23"/>
        <v>809</v>
      </c>
      <c r="L159" s="55">
        <f t="shared" si="24"/>
        <v>0</v>
      </c>
      <c r="M159" s="55" t="str">
        <f t="shared" si="27"/>
        <v/>
      </c>
      <c r="N159" s="55" t="str">
        <f t="shared" si="28"/>
        <v/>
      </c>
      <c r="O159" s="55">
        <f t="shared" si="29"/>
        <v>0</v>
      </c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</row>
    <row r="160" spans="1:54" x14ac:dyDescent="0.2">
      <c r="A160" s="31" t="s">
        <v>76</v>
      </c>
      <c r="B160" s="67">
        <v>141</v>
      </c>
      <c r="C160" s="50">
        <v>11</v>
      </c>
      <c r="D160" s="53">
        <v>1</v>
      </c>
      <c r="E160" s="35">
        <v>1</v>
      </c>
      <c r="F160" s="35">
        <f t="shared" si="22"/>
        <v>1</v>
      </c>
      <c r="G160" s="35" cm="1">
        <f t="array" ref="G160">IF(E160&lt;=INDEX($B$4:$B$17,C160),1,0)</f>
        <v>1</v>
      </c>
      <c r="H160" s="37">
        <f t="shared" si="25"/>
        <v>170</v>
      </c>
      <c r="I160" s="38">
        <f>IF(AND(sat_working=TRUE,E160=6),ROUNDDOWN(AVERAGE('Data for 2021'!I154:I158),0),'Data for 2021'!I159)</f>
        <v>180</v>
      </c>
      <c r="J160" s="55">
        <f t="shared" si="26"/>
        <v>809</v>
      </c>
      <c r="K160" s="55">
        <f t="shared" si="23"/>
        <v>819</v>
      </c>
      <c r="L160" s="55">
        <f t="shared" si="24"/>
        <v>0</v>
      </c>
      <c r="M160" s="55" t="str">
        <f t="shared" si="27"/>
        <v/>
      </c>
      <c r="N160" s="55" t="str">
        <f t="shared" si="28"/>
        <v/>
      </c>
      <c r="O160" s="55">
        <f t="shared" si="29"/>
        <v>1</v>
      </c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</row>
    <row r="161" spans="1:54" x14ac:dyDescent="0.2">
      <c r="A161" s="31"/>
      <c r="B161" s="70">
        <v>142</v>
      </c>
      <c r="C161" s="51">
        <v>11</v>
      </c>
      <c r="D161" s="55">
        <v>2</v>
      </c>
      <c r="E161" s="37">
        <v>2</v>
      </c>
      <c r="F161" s="37">
        <f t="shared" si="22"/>
        <v>1</v>
      </c>
      <c r="G161" s="37" cm="1">
        <f t="array" ref="G161">IF(E161&lt;=INDEX($B$4:$B$17,C161),1,0)</f>
        <v>1</v>
      </c>
      <c r="H161" s="37">
        <f t="shared" si="25"/>
        <v>170</v>
      </c>
      <c r="I161" s="38">
        <f>IF(AND(sat_working=TRUE,E161=6),ROUNDDOWN(AVERAGE('Data for 2021'!I155:I159),0),'Data for 2021'!I160)</f>
        <v>189</v>
      </c>
      <c r="J161" s="55">
        <f t="shared" si="26"/>
        <v>819</v>
      </c>
      <c r="K161" s="55">
        <f t="shared" si="23"/>
        <v>838</v>
      </c>
      <c r="L161" s="55">
        <f t="shared" si="24"/>
        <v>0</v>
      </c>
      <c r="M161" s="55">
        <f t="shared" si="27"/>
        <v>170</v>
      </c>
      <c r="N161" s="55" t="str">
        <f t="shared" si="28"/>
        <v/>
      </c>
      <c r="O161" s="55">
        <f t="shared" si="29"/>
        <v>1</v>
      </c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</row>
    <row r="162" spans="1:54" x14ac:dyDescent="0.2">
      <c r="A162" s="31"/>
      <c r="B162" s="67">
        <v>143</v>
      </c>
      <c r="C162" s="51">
        <v>11</v>
      </c>
      <c r="D162" s="55">
        <v>3</v>
      </c>
      <c r="E162" s="37">
        <v>3</v>
      </c>
      <c r="F162" s="37">
        <f t="shared" si="22"/>
        <v>1</v>
      </c>
      <c r="G162" s="37" cm="1">
        <f t="array" ref="G162">IF(E162&lt;=INDEX($B$4:$B$17,C162),1,0)</f>
        <v>1</v>
      </c>
      <c r="H162" s="37">
        <f t="shared" si="25"/>
        <v>170</v>
      </c>
      <c r="I162" s="38">
        <f>IF(AND(sat_working=TRUE,E162=6),ROUNDDOWN(AVERAGE('Data for 2021'!I156:I160),0),'Data for 2021'!I161)</f>
        <v>176</v>
      </c>
      <c r="J162" s="55">
        <f t="shared" si="26"/>
        <v>838</v>
      </c>
      <c r="K162" s="55">
        <f t="shared" si="23"/>
        <v>844</v>
      </c>
      <c r="L162" s="55">
        <f t="shared" si="24"/>
        <v>0</v>
      </c>
      <c r="M162" s="55">
        <f t="shared" si="27"/>
        <v>170</v>
      </c>
      <c r="N162" s="55" t="str">
        <f t="shared" si="28"/>
        <v/>
      </c>
      <c r="O162" s="55">
        <f t="shared" si="29"/>
        <v>1</v>
      </c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</row>
    <row r="163" spans="1:54" x14ac:dyDescent="0.2">
      <c r="A163" s="31"/>
      <c r="B163" s="70">
        <v>144</v>
      </c>
      <c r="C163" s="51">
        <v>11</v>
      </c>
      <c r="D163" s="55">
        <v>4</v>
      </c>
      <c r="E163" s="37">
        <v>4</v>
      </c>
      <c r="F163" s="37">
        <f t="shared" si="22"/>
        <v>1</v>
      </c>
      <c r="G163" s="37" cm="1">
        <f t="array" ref="G163">IF(E163&lt;=INDEX($B$4:$B$17,C163),1,0)</f>
        <v>1</v>
      </c>
      <c r="H163" s="37">
        <f t="shared" si="25"/>
        <v>170</v>
      </c>
      <c r="I163" s="38">
        <f>IF(AND(sat_working=TRUE,E163=6),ROUNDDOWN(AVERAGE('Data for 2021'!I157:I161),0),'Data for 2021'!I162)</f>
        <v>153</v>
      </c>
      <c r="J163" s="55">
        <f t="shared" si="26"/>
        <v>844</v>
      </c>
      <c r="K163" s="55">
        <f t="shared" si="23"/>
        <v>827</v>
      </c>
      <c r="L163" s="55">
        <f t="shared" si="24"/>
        <v>0</v>
      </c>
      <c r="M163" s="55">
        <f t="shared" si="27"/>
        <v>170</v>
      </c>
      <c r="N163" s="55" t="str">
        <f t="shared" si="28"/>
        <v/>
      </c>
      <c r="O163" s="55">
        <f t="shared" si="29"/>
        <v>0</v>
      </c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</row>
    <row r="164" spans="1:54" x14ac:dyDescent="0.2">
      <c r="A164" s="31"/>
      <c r="B164" s="67">
        <v>145</v>
      </c>
      <c r="C164" s="51">
        <v>11</v>
      </c>
      <c r="D164" s="55">
        <v>5</v>
      </c>
      <c r="E164" s="37">
        <v>5</v>
      </c>
      <c r="F164" s="37">
        <f t="shared" si="22"/>
        <v>1</v>
      </c>
      <c r="G164" s="37" cm="1">
        <f t="array" ref="G164">IF(E164&lt;=INDEX($B$4:$B$17,C164),1,0)</f>
        <v>1</v>
      </c>
      <c r="H164" s="37">
        <f t="shared" si="25"/>
        <v>170</v>
      </c>
      <c r="I164" s="38">
        <f>IF(AND(sat_working=TRUE,E164=6),ROUNDDOWN(AVERAGE('Data for 2021'!I158:I162),0),'Data for 2021'!I163)</f>
        <v>153</v>
      </c>
      <c r="J164" s="55">
        <f t="shared" si="26"/>
        <v>827</v>
      </c>
      <c r="K164" s="55">
        <f t="shared" si="23"/>
        <v>810</v>
      </c>
      <c r="L164" s="55">
        <f t="shared" si="24"/>
        <v>0</v>
      </c>
      <c r="M164" s="55">
        <f t="shared" si="27"/>
        <v>170</v>
      </c>
      <c r="N164" s="55" t="str">
        <f t="shared" si="28"/>
        <v/>
      </c>
      <c r="O164" s="55">
        <f t="shared" si="29"/>
        <v>0</v>
      </c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</row>
    <row r="165" spans="1:54" x14ac:dyDescent="0.2">
      <c r="A165" s="31"/>
      <c r="B165" s="70">
        <v>146</v>
      </c>
      <c r="C165" s="51">
        <v>11</v>
      </c>
      <c r="D165" s="55">
        <v>6</v>
      </c>
      <c r="E165" s="37">
        <v>6</v>
      </c>
      <c r="F165" s="37">
        <f t="shared" si="22"/>
        <v>1</v>
      </c>
      <c r="G165" s="37" cm="1">
        <f t="array" ref="G165">IF(E165&lt;=INDEX($B$4:$B$17,C165),1,0)</f>
        <v>0</v>
      </c>
      <c r="H165" s="37">
        <f t="shared" si="25"/>
        <v>0</v>
      </c>
      <c r="I165" s="38">
        <f>IF(AND(sat_working=TRUE,E165=6),ROUNDDOWN(AVERAGE('Data for 2021'!I159:I163,'Data for 2021'!I166:I170),0),'Data for 2021'!I164)</f>
        <v>171</v>
      </c>
      <c r="J165" s="55">
        <f t="shared" si="26"/>
        <v>810</v>
      </c>
      <c r="K165" s="55">
        <f t="shared" si="23"/>
        <v>981</v>
      </c>
      <c r="L165" s="55">
        <f t="shared" si="24"/>
        <v>0</v>
      </c>
      <c r="M165" s="55">
        <f t="shared" si="27"/>
        <v>170</v>
      </c>
      <c r="N165" s="55" t="str">
        <f t="shared" si="28"/>
        <v/>
      </c>
      <c r="O165" s="55">
        <f t="shared" si="29"/>
        <v>1</v>
      </c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</row>
    <row r="166" spans="1:54" x14ac:dyDescent="0.2">
      <c r="A166" s="31"/>
      <c r="B166" s="67">
        <v>147</v>
      </c>
      <c r="C166" s="51">
        <v>11</v>
      </c>
      <c r="D166" s="55">
        <v>7</v>
      </c>
      <c r="E166" s="37">
        <v>7</v>
      </c>
      <c r="F166" s="37">
        <f t="shared" si="22"/>
        <v>0</v>
      </c>
      <c r="G166" s="37" cm="1">
        <f t="array" ref="G166">IF(E166&lt;=INDEX($B$4:$B$17,C166),1,0)</f>
        <v>0</v>
      </c>
      <c r="H166" s="37">
        <f t="shared" si="25"/>
        <v>0</v>
      </c>
      <c r="I166" s="38">
        <f>IF(AND(sat_working=TRUE,E166=6),ROUNDDOWN(AVERAGE('Data for 2021'!I160:I164),0),'Data for 2021'!I165)</f>
        <v>0</v>
      </c>
      <c r="J166" s="55">
        <f t="shared" si="26"/>
        <v>981</v>
      </c>
      <c r="K166" s="55">
        <f t="shared" si="23"/>
        <v>981</v>
      </c>
      <c r="L166" s="55">
        <f t="shared" si="24"/>
        <v>0</v>
      </c>
      <c r="M166" s="55" t="str">
        <f t="shared" si="27"/>
        <v/>
      </c>
      <c r="N166" s="55" t="str">
        <f t="shared" si="28"/>
        <v/>
      </c>
      <c r="O166" s="55">
        <f t="shared" si="29"/>
        <v>0</v>
      </c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</row>
    <row r="167" spans="1:54" x14ac:dyDescent="0.2">
      <c r="A167" s="31"/>
      <c r="B167" s="70">
        <v>148</v>
      </c>
      <c r="C167" s="51">
        <v>11</v>
      </c>
      <c r="D167" s="55">
        <v>8</v>
      </c>
      <c r="E167" s="35">
        <v>1</v>
      </c>
      <c r="F167" s="35">
        <f t="shared" si="22"/>
        <v>1</v>
      </c>
      <c r="G167" s="37" cm="1">
        <f t="array" ref="G167">IF(E167&lt;=INDEX($B$4:$B$17,C167),1,0)</f>
        <v>1</v>
      </c>
      <c r="H167" s="37">
        <f t="shared" si="25"/>
        <v>170</v>
      </c>
      <c r="I167" s="38">
        <f>IF(AND(sat_working=TRUE,E167=6),ROUNDDOWN(AVERAGE('Data for 2021'!I161:I165),0),'Data for 2021'!I166)</f>
        <v>181</v>
      </c>
      <c r="J167" s="55">
        <f t="shared" si="26"/>
        <v>981</v>
      </c>
      <c r="K167" s="55">
        <f t="shared" si="23"/>
        <v>992</v>
      </c>
      <c r="L167" s="55">
        <f t="shared" si="24"/>
        <v>0</v>
      </c>
      <c r="M167" s="55" t="str">
        <f t="shared" si="27"/>
        <v/>
      </c>
      <c r="N167" s="55" t="str">
        <f t="shared" si="28"/>
        <v/>
      </c>
      <c r="O167" s="55">
        <f t="shared" si="29"/>
        <v>1</v>
      </c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</row>
    <row r="168" spans="1:54" x14ac:dyDescent="0.2">
      <c r="A168" s="31"/>
      <c r="B168" s="67">
        <v>149</v>
      </c>
      <c r="C168" s="51">
        <v>11</v>
      </c>
      <c r="D168" s="55">
        <v>9</v>
      </c>
      <c r="E168" s="37">
        <v>2</v>
      </c>
      <c r="F168" s="37">
        <f t="shared" si="22"/>
        <v>1</v>
      </c>
      <c r="G168" s="37" cm="1">
        <f t="array" ref="G168">IF(E168&lt;=INDEX($B$4:$B$17,C168),1,0)</f>
        <v>1</v>
      </c>
      <c r="H168" s="37">
        <f t="shared" si="25"/>
        <v>170</v>
      </c>
      <c r="I168" s="38">
        <f>IF(AND(sat_working=TRUE,E168=6),ROUNDDOWN(AVERAGE('Data for 2021'!I162:I166),0),'Data for 2021'!I167)</f>
        <v>190</v>
      </c>
      <c r="J168" s="55">
        <f t="shared" si="26"/>
        <v>992</v>
      </c>
      <c r="K168" s="55">
        <f t="shared" si="23"/>
        <v>1012</v>
      </c>
      <c r="L168" s="55">
        <f t="shared" si="24"/>
        <v>0</v>
      </c>
      <c r="M168" s="55">
        <f t="shared" si="27"/>
        <v>170</v>
      </c>
      <c r="N168" s="55" t="str">
        <f t="shared" si="28"/>
        <v/>
      </c>
      <c r="O168" s="55">
        <f t="shared" si="29"/>
        <v>1</v>
      </c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</row>
    <row r="169" spans="1:54" x14ac:dyDescent="0.2">
      <c r="A169" s="31"/>
      <c r="B169" s="70">
        <v>150</v>
      </c>
      <c r="C169" s="51">
        <v>11</v>
      </c>
      <c r="D169" s="55">
        <v>10</v>
      </c>
      <c r="E169" s="37">
        <v>3</v>
      </c>
      <c r="F169" s="37">
        <f t="shared" si="22"/>
        <v>1</v>
      </c>
      <c r="G169" s="37" cm="1">
        <f t="array" ref="G169">IF(E169&lt;=INDEX($B$4:$B$17,C169),1,0)</f>
        <v>1</v>
      </c>
      <c r="H169" s="37">
        <f t="shared" si="25"/>
        <v>170</v>
      </c>
      <c r="I169" s="38">
        <f>IF(AND(sat_working=TRUE,E169=6),ROUNDDOWN(AVERAGE('Data for 2021'!I163:I167),0),'Data for 2021'!I168)</f>
        <v>133</v>
      </c>
      <c r="J169" s="55">
        <f t="shared" si="26"/>
        <v>1012</v>
      </c>
      <c r="K169" s="55">
        <f t="shared" si="23"/>
        <v>975</v>
      </c>
      <c r="L169" s="55">
        <f t="shared" si="24"/>
        <v>0</v>
      </c>
      <c r="M169" s="55">
        <f t="shared" si="27"/>
        <v>170</v>
      </c>
      <c r="N169" s="55" t="str">
        <f t="shared" si="28"/>
        <v/>
      </c>
      <c r="O169" s="55">
        <f t="shared" si="29"/>
        <v>0</v>
      </c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</row>
    <row r="170" spans="1:54" x14ac:dyDescent="0.2">
      <c r="A170" s="31"/>
      <c r="B170" s="67">
        <v>151</v>
      </c>
      <c r="C170" s="51">
        <v>11</v>
      </c>
      <c r="D170" s="55">
        <v>11</v>
      </c>
      <c r="E170" s="37">
        <v>4</v>
      </c>
      <c r="F170" s="37">
        <f t="shared" si="22"/>
        <v>1</v>
      </c>
      <c r="G170" s="37" cm="1">
        <f t="array" ref="G170">IF(E170&lt;=INDEX($B$4:$B$17,C170),1,0)</f>
        <v>1</v>
      </c>
      <c r="H170" s="37">
        <f t="shared" si="25"/>
        <v>170</v>
      </c>
      <c r="I170" s="38">
        <f>IF(AND(sat_working=TRUE,E170=6),ROUNDDOWN(AVERAGE('Data for 2021'!I164:I168),0),'Data for 2021'!I169)</f>
        <v>177</v>
      </c>
      <c r="J170" s="55">
        <f t="shared" si="26"/>
        <v>975</v>
      </c>
      <c r="K170" s="55">
        <f t="shared" si="23"/>
        <v>982</v>
      </c>
      <c r="L170" s="55">
        <f t="shared" si="24"/>
        <v>0</v>
      </c>
      <c r="M170" s="55">
        <f t="shared" si="27"/>
        <v>170</v>
      </c>
      <c r="N170" s="55" t="str">
        <f t="shared" si="28"/>
        <v/>
      </c>
      <c r="O170" s="55">
        <f t="shared" si="29"/>
        <v>1</v>
      </c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</row>
    <row r="171" spans="1:54" x14ac:dyDescent="0.2">
      <c r="A171" s="31"/>
      <c r="B171" s="70">
        <v>152</v>
      </c>
      <c r="C171" s="51">
        <v>11</v>
      </c>
      <c r="D171" s="55">
        <v>12</v>
      </c>
      <c r="E171" s="37">
        <v>5</v>
      </c>
      <c r="F171" s="37">
        <f t="shared" si="22"/>
        <v>1</v>
      </c>
      <c r="G171" s="37" cm="1">
        <f t="array" ref="G171">IF(E171&lt;=INDEX($B$4:$B$17,C171),1,0)</f>
        <v>1</v>
      </c>
      <c r="H171" s="37">
        <f t="shared" si="25"/>
        <v>170</v>
      </c>
      <c r="I171" s="38">
        <f>IF(AND(sat_working=TRUE,E171=6),ROUNDDOWN(AVERAGE('Data for 2021'!I165:I169),0),'Data for 2021'!I170)</f>
        <v>178</v>
      </c>
      <c r="J171" s="55">
        <f t="shared" si="26"/>
        <v>982</v>
      </c>
      <c r="K171" s="55">
        <f t="shared" si="23"/>
        <v>990</v>
      </c>
      <c r="L171" s="55">
        <f t="shared" si="24"/>
        <v>0</v>
      </c>
      <c r="M171" s="55">
        <f t="shared" si="27"/>
        <v>170</v>
      </c>
      <c r="N171" s="55" t="str">
        <f t="shared" si="28"/>
        <v/>
      </c>
      <c r="O171" s="55">
        <f t="shared" si="29"/>
        <v>1</v>
      </c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</row>
    <row r="172" spans="1:54" x14ac:dyDescent="0.2">
      <c r="A172" s="31"/>
      <c r="B172" s="67">
        <v>153</v>
      </c>
      <c r="C172" s="51">
        <v>11</v>
      </c>
      <c r="D172" s="55">
        <v>13</v>
      </c>
      <c r="E172" s="37">
        <v>6</v>
      </c>
      <c r="F172" s="37">
        <f t="shared" si="22"/>
        <v>1</v>
      </c>
      <c r="G172" s="37" cm="1">
        <f t="array" ref="G172">IF(E172&lt;=INDEX($B$4:$B$17,C172),1,0)</f>
        <v>0</v>
      </c>
      <c r="H172" s="37">
        <f t="shared" si="25"/>
        <v>0</v>
      </c>
      <c r="I172" s="38">
        <f>I165</f>
        <v>171</v>
      </c>
      <c r="J172" s="55">
        <f t="shared" si="26"/>
        <v>990</v>
      </c>
      <c r="K172" s="55">
        <f t="shared" si="23"/>
        <v>1161</v>
      </c>
      <c r="L172" s="55">
        <f t="shared" si="24"/>
        <v>0</v>
      </c>
      <c r="M172" s="55">
        <f t="shared" si="27"/>
        <v>170</v>
      </c>
      <c r="N172" s="55" t="str">
        <f t="shared" si="28"/>
        <v/>
      </c>
      <c r="O172" s="55">
        <f t="shared" si="29"/>
        <v>1</v>
      </c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</row>
    <row r="173" spans="1:54" x14ac:dyDescent="0.2">
      <c r="A173" s="31"/>
      <c r="B173" s="70">
        <v>154</v>
      </c>
      <c r="C173" s="52">
        <v>11</v>
      </c>
      <c r="D173" s="57">
        <v>14</v>
      </c>
      <c r="E173" s="37">
        <v>7</v>
      </c>
      <c r="F173" s="37">
        <f t="shared" si="22"/>
        <v>0</v>
      </c>
      <c r="G173" s="37" cm="1">
        <f t="array" ref="G173">IF(E173&lt;=INDEX($B$4:$B$17,C173),1,0)</f>
        <v>0</v>
      </c>
      <c r="H173" s="37">
        <f t="shared" si="25"/>
        <v>0</v>
      </c>
      <c r="I173" s="38">
        <f>IF(AND(sat_working=TRUE,E173=6),ROUNDDOWN(AVERAGE('Data for 2021'!I167:I171),0),'Data for 2021'!I172)</f>
        <v>0</v>
      </c>
      <c r="J173" s="55">
        <f t="shared" si="26"/>
        <v>1161</v>
      </c>
      <c r="K173" s="55">
        <f t="shared" si="23"/>
        <v>1161</v>
      </c>
      <c r="L173" s="55">
        <f t="shared" si="24"/>
        <v>0</v>
      </c>
      <c r="M173" s="55" t="str">
        <f t="shared" si="27"/>
        <v/>
      </c>
      <c r="N173" s="55" t="str">
        <f t="shared" si="28"/>
        <v/>
      </c>
      <c r="O173" s="55">
        <f t="shared" si="29"/>
        <v>0</v>
      </c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</row>
    <row r="174" spans="1:54" x14ac:dyDescent="0.2">
      <c r="A174" s="31" t="s">
        <v>77</v>
      </c>
      <c r="B174" s="67">
        <v>155</v>
      </c>
      <c r="C174" s="50">
        <v>12</v>
      </c>
      <c r="D174" s="53">
        <v>1</v>
      </c>
      <c r="E174" s="35">
        <v>1</v>
      </c>
      <c r="F174" s="35">
        <f t="shared" si="22"/>
        <v>1</v>
      </c>
      <c r="G174" s="35" cm="1">
        <f t="array" ref="G174">IF(E174&lt;=INDEX($B$4:$B$17,C174),1,0)</f>
        <v>1</v>
      </c>
      <c r="H174" s="37">
        <f t="shared" si="25"/>
        <v>170</v>
      </c>
      <c r="I174" s="38">
        <f>IF(AND(sat_working=TRUE,E174=6),ROUNDDOWN(AVERAGE('Data for 2021'!I168:I172),0),'Data for 2021'!I173)</f>
        <v>145</v>
      </c>
      <c r="J174" s="55">
        <f t="shared" si="26"/>
        <v>1161</v>
      </c>
      <c r="K174" s="55">
        <f t="shared" si="23"/>
        <v>1136</v>
      </c>
      <c r="L174" s="55">
        <f t="shared" si="24"/>
        <v>0</v>
      </c>
      <c r="M174" s="55" t="str">
        <f t="shared" si="27"/>
        <v/>
      </c>
      <c r="N174" s="55" t="str">
        <f t="shared" si="28"/>
        <v/>
      </c>
      <c r="O174" s="55">
        <f t="shared" si="29"/>
        <v>0</v>
      </c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</row>
    <row r="175" spans="1:54" x14ac:dyDescent="0.2">
      <c r="A175" s="31"/>
      <c r="B175" s="70">
        <v>156</v>
      </c>
      <c r="C175" s="51">
        <v>12</v>
      </c>
      <c r="D175" s="55">
        <v>2</v>
      </c>
      <c r="E175" s="37">
        <v>2</v>
      </c>
      <c r="F175" s="37">
        <f t="shared" si="22"/>
        <v>1</v>
      </c>
      <c r="G175" s="37" cm="1">
        <f t="array" ref="G175">IF(E175&lt;=INDEX($B$4:$B$17,C175),1,0)</f>
        <v>1</v>
      </c>
      <c r="H175" s="37">
        <f t="shared" si="25"/>
        <v>170</v>
      </c>
      <c r="I175" s="38">
        <f>IF(AND(sat_working=TRUE,E175=6),ROUNDDOWN(AVERAGE('Data for 2021'!I169:I173),0),'Data for 2021'!I174)</f>
        <v>156</v>
      </c>
      <c r="J175" s="55">
        <f t="shared" si="26"/>
        <v>1136</v>
      </c>
      <c r="K175" s="55">
        <f t="shared" si="23"/>
        <v>1122</v>
      </c>
      <c r="L175" s="55">
        <f t="shared" si="24"/>
        <v>0</v>
      </c>
      <c r="M175" s="55">
        <f t="shared" si="27"/>
        <v>170</v>
      </c>
      <c r="N175" s="55" t="str">
        <f t="shared" si="28"/>
        <v/>
      </c>
      <c r="O175" s="55">
        <f t="shared" si="29"/>
        <v>0</v>
      </c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</row>
    <row r="176" spans="1:54" x14ac:dyDescent="0.2">
      <c r="A176" s="31"/>
      <c r="B176" s="67">
        <v>157</v>
      </c>
      <c r="C176" s="51">
        <v>12</v>
      </c>
      <c r="D176" s="55">
        <v>3</v>
      </c>
      <c r="E176" s="37">
        <v>3</v>
      </c>
      <c r="F176" s="37">
        <f t="shared" si="22"/>
        <v>1</v>
      </c>
      <c r="G176" s="37" cm="1">
        <f t="array" ref="G176">IF(E176&lt;=INDEX($B$4:$B$17,C176),1,0)</f>
        <v>1</v>
      </c>
      <c r="H176" s="37">
        <f t="shared" si="25"/>
        <v>170</v>
      </c>
      <c r="I176" s="38">
        <f>IF(AND(sat_working=TRUE,E176=6),ROUNDDOWN(AVERAGE('Data for 2021'!I170:I174),0),'Data for 2021'!I175)</f>
        <v>143</v>
      </c>
      <c r="J176" s="55">
        <f t="shared" si="26"/>
        <v>1122</v>
      </c>
      <c r="K176" s="55">
        <f t="shared" si="23"/>
        <v>1095</v>
      </c>
      <c r="L176" s="55">
        <f t="shared" si="24"/>
        <v>0</v>
      </c>
      <c r="M176" s="55">
        <f t="shared" si="27"/>
        <v>170</v>
      </c>
      <c r="N176" s="55" t="str">
        <f t="shared" si="28"/>
        <v/>
      </c>
      <c r="O176" s="55">
        <f t="shared" si="29"/>
        <v>0</v>
      </c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</row>
    <row r="177" spans="1:54" x14ac:dyDescent="0.2">
      <c r="A177" s="31"/>
      <c r="B177" s="70">
        <v>158</v>
      </c>
      <c r="C177" s="51">
        <v>12</v>
      </c>
      <c r="D177" s="55">
        <v>4</v>
      </c>
      <c r="E177" s="37">
        <v>4</v>
      </c>
      <c r="F177" s="37">
        <f t="shared" si="22"/>
        <v>1</v>
      </c>
      <c r="G177" s="37" cm="1">
        <f t="array" ref="G177">IF(E177&lt;=INDEX($B$4:$B$17,C177),1,0)</f>
        <v>1</v>
      </c>
      <c r="H177" s="37">
        <f t="shared" si="25"/>
        <v>170</v>
      </c>
      <c r="I177" s="38">
        <f>IF(AND(sat_working=TRUE,E177=6),ROUNDDOWN(AVERAGE('Data for 2021'!I171:I175),0),'Data for 2021'!I176)</f>
        <v>148</v>
      </c>
      <c r="J177" s="55">
        <f t="shared" si="26"/>
        <v>1095</v>
      </c>
      <c r="K177" s="55">
        <f t="shared" si="23"/>
        <v>1073</v>
      </c>
      <c r="L177" s="55">
        <f t="shared" si="24"/>
        <v>0</v>
      </c>
      <c r="M177" s="55">
        <f t="shared" si="27"/>
        <v>170</v>
      </c>
      <c r="N177" s="55" t="str">
        <f t="shared" si="28"/>
        <v/>
      </c>
      <c r="O177" s="55">
        <f t="shared" si="29"/>
        <v>0</v>
      </c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</row>
    <row r="178" spans="1:54" x14ac:dyDescent="0.2">
      <c r="A178" s="31"/>
      <c r="B178" s="67">
        <v>159</v>
      </c>
      <c r="C178" s="51">
        <v>12</v>
      </c>
      <c r="D178" s="55">
        <v>5</v>
      </c>
      <c r="E178" s="37">
        <v>5</v>
      </c>
      <c r="F178" s="37">
        <f t="shared" si="22"/>
        <v>1</v>
      </c>
      <c r="G178" s="37" cm="1">
        <f t="array" ref="G178">IF(E178&lt;=INDEX($B$4:$B$17,C178),1,0)</f>
        <v>1</v>
      </c>
      <c r="H178" s="37">
        <f t="shared" si="25"/>
        <v>170</v>
      </c>
      <c r="I178" s="38">
        <f>IF(AND(sat_working=TRUE,E178=6),ROUNDDOWN(AVERAGE('Data for 2021'!I172:I176),0),'Data for 2021'!I177)</f>
        <v>144</v>
      </c>
      <c r="J178" s="55">
        <f t="shared" si="26"/>
        <v>1073</v>
      </c>
      <c r="K178" s="55">
        <f t="shared" si="23"/>
        <v>1047</v>
      </c>
      <c r="L178" s="55">
        <f t="shared" si="24"/>
        <v>0</v>
      </c>
      <c r="M178" s="55">
        <f t="shared" si="27"/>
        <v>170</v>
      </c>
      <c r="N178" s="55" t="str">
        <f t="shared" si="28"/>
        <v/>
      </c>
      <c r="O178" s="55">
        <f t="shared" si="29"/>
        <v>0</v>
      </c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</row>
    <row r="179" spans="1:54" x14ac:dyDescent="0.2">
      <c r="A179" s="31"/>
      <c r="B179" s="70">
        <v>160</v>
      </c>
      <c r="C179" s="51">
        <v>12</v>
      </c>
      <c r="D179" s="55">
        <v>6</v>
      </c>
      <c r="E179" s="37">
        <v>6</v>
      </c>
      <c r="F179" s="37">
        <f t="shared" si="22"/>
        <v>1</v>
      </c>
      <c r="G179" s="37" cm="1">
        <f t="array" ref="G179">IF(E179&lt;=INDEX($B$4:$B$17,C179),1,0)</f>
        <v>1</v>
      </c>
      <c r="H179" s="37">
        <f t="shared" si="25"/>
        <v>170</v>
      </c>
      <c r="I179" s="38">
        <f>IF(AND(sat_working=TRUE,E179=6),ROUNDDOWN(AVERAGE('Data for 2021'!I173:I177,'Data for 2021'!I180:I184),0),'Data for 2021'!I178)</f>
        <v>138</v>
      </c>
      <c r="J179" s="55">
        <f t="shared" si="26"/>
        <v>1047</v>
      </c>
      <c r="K179" s="55">
        <f t="shared" si="23"/>
        <v>1015</v>
      </c>
      <c r="L179" s="55">
        <f t="shared" si="24"/>
        <v>0</v>
      </c>
      <c r="M179" s="55">
        <f t="shared" si="27"/>
        <v>170</v>
      </c>
      <c r="N179" s="55" t="str">
        <f t="shared" si="28"/>
        <v/>
      </c>
      <c r="O179" s="55">
        <f t="shared" si="29"/>
        <v>0</v>
      </c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</row>
    <row r="180" spans="1:54" x14ac:dyDescent="0.2">
      <c r="A180" s="31"/>
      <c r="B180" s="67">
        <v>161</v>
      </c>
      <c r="C180" s="51">
        <v>12</v>
      </c>
      <c r="D180" s="55">
        <v>7</v>
      </c>
      <c r="E180" s="37">
        <v>7</v>
      </c>
      <c r="F180" s="37">
        <f t="shared" ref="F180:F211" si="30">IF(OR(I180&lt;&gt;0,(AND(sat_working=TRUE,E180=6))),1,0)</f>
        <v>0</v>
      </c>
      <c r="G180" s="37" cm="1">
        <f t="array" ref="G180">IF(E180&lt;=INDEX($B$4:$B$17,C180),1,0)</f>
        <v>0</v>
      </c>
      <c r="H180" s="37">
        <f t="shared" si="25"/>
        <v>0</v>
      </c>
      <c r="I180" s="38">
        <f>IF(AND(sat_working=TRUE,E180=6),ROUNDDOWN(AVERAGE('Data for 2021'!I174:I178),0),'Data for 2021'!I179)</f>
        <v>0</v>
      </c>
      <c r="J180" s="55">
        <f t="shared" si="26"/>
        <v>1015</v>
      </c>
      <c r="K180" s="55">
        <f t="shared" ref="K180:K211" si="31">J180+I180-H180</f>
        <v>1015</v>
      </c>
      <c r="L180" s="55">
        <f t="shared" si="24"/>
        <v>0</v>
      </c>
      <c r="M180" s="55">
        <f t="shared" si="27"/>
        <v>170</v>
      </c>
      <c r="N180" s="55" t="str">
        <f t="shared" si="28"/>
        <v/>
      </c>
      <c r="O180" s="55">
        <f t="shared" si="29"/>
        <v>0</v>
      </c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</row>
    <row r="181" spans="1:54" x14ac:dyDescent="0.2">
      <c r="A181" s="31"/>
      <c r="B181" s="70">
        <v>162</v>
      </c>
      <c r="C181" s="51">
        <v>12</v>
      </c>
      <c r="D181" s="55">
        <v>8</v>
      </c>
      <c r="E181" s="35">
        <v>1</v>
      </c>
      <c r="F181" s="35">
        <f t="shared" si="30"/>
        <v>1</v>
      </c>
      <c r="G181" s="37" cm="1">
        <f t="array" ref="G181">IF(E181&lt;=INDEX($B$4:$B$17,C181),1,0)</f>
        <v>1</v>
      </c>
      <c r="H181" s="37">
        <f t="shared" si="25"/>
        <v>170</v>
      </c>
      <c r="I181" s="38">
        <f>IF(AND(sat_working=TRUE,E181=6),ROUNDDOWN(AVERAGE('Data for 2021'!I175:I179),0),'Data for 2021'!I180)</f>
        <v>154</v>
      </c>
      <c r="J181" s="55">
        <f t="shared" si="26"/>
        <v>1015</v>
      </c>
      <c r="K181" s="55">
        <f t="shared" si="31"/>
        <v>999</v>
      </c>
      <c r="L181" s="55">
        <f t="shared" ref="L181:L215" si="32">IF(AND(H181=J181,G181),1,0)</f>
        <v>0</v>
      </c>
      <c r="M181" s="55" t="str">
        <f t="shared" si="27"/>
        <v/>
      </c>
      <c r="N181" s="55" t="str">
        <f t="shared" si="28"/>
        <v/>
      </c>
      <c r="O181" s="55">
        <f t="shared" si="29"/>
        <v>0</v>
      </c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</row>
    <row r="182" spans="1:54" x14ac:dyDescent="0.2">
      <c r="A182" s="31"/>
      <c r="B182" s="67">
        <v>163</v>
      </c>
      <c r="C182" s="51">
        <v>12</v>
      </c>
      <c r="D182" s="55">
        <v>9</v>
      </c>
      <c r="E182" s="37">
        <v>2</v>
      </c>
      <c r="F182" s="37">
        <f t="shared" si="30"/>
        <v>1</v>
      </c>
      <c r="G182" s="37" cm="1">
        <f t="array" ref="G182">IF(E182&lt;=INDEX($B$4:$B$17,C182),1,0)</f>
        <v>1</v>
      </c>
      <c r="H182" s="37">
        <f t="shared" si="25"/>
        <v>170</v>
      </c>
      <c r="I182" s="38">
        <f>IF(AND(sat_working=TRUE,E182=6),ROUNDDOWN(AVERAGE('Data for 2021'!I176:I180),0),'Data for 2021'!I181)</f>
        <v>86</v>
      </c>
      <c r="J182" s="55">
        <f t="shared" si="26"/>
        <v>999</v>
      </c>
      <c r="K182" s="55">
        <f t="shared" si="31"/>
        <v>915</v>
      </c>
      <c r="L182" s="55">
        <f t="shared" si="32"/>
        <v>0</v>
      </c>
      <c r="M182" s="55">
        <f t="shared" si="27"/>
        <v>170</v>
      </c>
      <c r="N182" s="55" t="str">
        <f t="shared" si="28"/>
        <v/>
      </c>
      <c r="O182" s="55">
        <f t="shared" si="29"/>
        <v>0</v>
      </c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</row>
    <row r="183" spans="1:54" x14ac:dyDescent="0.2">
      <c r="A183" s="31"/>
      <c r="B183" s="70">
        <v>164</v>
      </c>
      <c r="C183" s="51">
        <v>12</v>
      </c>
      <c r="D183" s="55">
        <v>10</v>
      </c>
      <c r="E183" s="37">
        <v>3</v>
      </c>
      <c r="F183" s="37">
        <f t="shared" si="30"/>
        <v>1</v>
      </c>
      <c r="G183" s="37" cm="1">
        <f t="array" ref="G183">IF(E183&lt;=INDEX($B$4:$B$17,C183),1,0)</f>
        <v>1</v>
      </c>
      <c r="H183" s="37">
        <f t="shared" si="25"/>
        <v>170</v>
      </c>
      <c r="I183" s="38">
        <f>IF(AND(sat_working=TRUE,E183=6),ROUNDDOWN(AVERAGE('Data for 2021'!I177:I181),0),'Data for 2021'!I182)</f>
        <v>125</v>
      </c>
      <c r="J183" s="55">
        <f t="shared" si="26"/>
        <v>915</v>
      </c>
      <c r="K183" s="55">
        <f t="shared" si="31"/>
        <v>870</v>
      </c>
      <c r="L183" s="55">
        <f t="shared" si="32"/>
        <v>0</v>
      </c>
      <c r="M183" s="55">
        <f t="shared" si="27"/>
        <v>170</v>
      </c>
      <c r="N183" s="55" t="str">
        <f t="shared" si="28"/>
        <v/>
      </c>
      <c r="O183" s="55">
        <f t="shared" si="29"/>
        <v>0</v>
      </c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</row>
    <row r="184" spans="1:54" x14ac:dyDescent="0.2">
      <c r="A184" s="31"/>
      <c r="B184" s="67">
        <v>165</v>
      </c>
      <c r="C184" s="51">
        <v>12</v>
      </c>
      <c r="D184" s="55">
        <v>11</v>
      </c>
      <c r="E184" s="37">
        <v>4</v>
      </c>
      <c r="F184" s="37">
        <f t="shared" si="30"/>
        <v>1</v>
      </c>
      <c r="G184" s="37" cm="1">
        <f t="array" ref="G184">IF(E184&lt;=INDEX($B$4:$B$17,C184),1,0)</f>
        <v>1</v>
      </c>
      <c r="H184" s="37">
        <f t="shared" si="25"/>
        <v>170</v>
      </c>
      <c r="I184" s="38">
        <f>IF(AND(sat_working=TRUE,E184=6),ROUNDDOWN(AVERAGE('Data for 2021'!I178:I182),0),'Data for 2021'!I183)</f>
        <v>150</v>
      </c>
      <c r="J184" s="55">
        <f t="shared" si="26"/>
        <v>870</v>
      </c>
      <c r="K184" s="55">
        <f t="shared" si="31"/>
        <v>850</v>
      </c>
      <c r="L184" s="55">
        <f t="shared" si="32"/>
        <v>0</v>
      </c>
      <c r="M184" s="55">
        <f t="shared" si="27"/>
        <v>170</v>
      </c>
      <c r="N184" s="55" t="str">
        <f t="shared" si="28"/>
        <v/>
      </c>
      <c r="O184" s="55">
        <f t="shared" si="29"/>
        <v>0</v>
      </c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</row>
    <row r="185" spans="1:54" x14ac:dyDescent="0.2">
      <c r="A185" s="31"/>
      <c r="B185" s="70">
        <v>166</v>
      </c>
      <c r="C185" s="51">
        <v>12</v>
      </c>
      <c r="D185" s="55">
        <v>12</v>
      </c>
      <c r="E185" s="37">
        <v>5</v>
      </c>
      <c r="F185" s="37">
        <f t="shared" si="30"/>
        <v>1</v>
      </c>
      <c r="G185" s="37" cm="1">
        <f t="array" ref="G185">IF(E185&lt;=INDEX($B$4:$B$17,C185),1,0)</f>
        <v>1</v>
      </c>
      <c r="H185" s="37">
        <f t="shared" si="25"/>
        <v>170</v>
      </c>
      <c r="I185" s="38">
        <f>IF(AND(sat_working=TRUE,E185=6),ROUNDDOWN(AVERAGE('Data for 2021'!I179:I183),0),'Data for 2021'!I184)</f>
        <v>136</v>
      </c>
      <c r="J185" s="55">
        <f t="shared" si="26"/>
        <v>850</v>
      </c>
      <c r="K185" s="55">
        <f t="shared" si="31"/>
        <v>816</v>
      </c>
      <c r="L185" s="55">
        <f t="shared" si="32"/>
        <v>0</v>
      </c>
      <c r="M185" s="55">
        <f t="shared" si="27"/>
        <v>170</v>
      </c>
      <c r="N185" s="55" t="str">
        <f t="shared" si="28"/>
        <v/>
      </c>
      <c r="O185" s="55">
        <f t="shared" si="29"/>
        <v>0</v>
      </c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</row>
    <row r="186" spans="1:54" x14ac:dyDescent="0.2">
      <c r="A186" s="31"/>
      <c r="B186" s="67">
        <v>167</v>
      </c>
      <c r="C186" s="51">
        <v>12</v>
      </c>
      <c r="D186" s="55">
        <v>13</v>
      </c>
      <c r="E186" s="37">
        <v>6</v>
      </c>
      <c r="F186" s="37">
        <f t="shared" si="30"/>
        <v>1</v>
      </c>
      <c r="G186" s="37" cm="1">
        <f t="array" ref="G186">IF(E186&lt;=INDEX($B$4:$B$17,C186),1,0)</f>
        <v>1</v>
      </c>
      <c r="H186" s="37">
        <f t="shared" si="25"/>
        <v>170</v>
      </c>
      <c r="I186" s="38">
        <f>I179</f>
        <v>138</v>
      </c>
      <c r="J186" s="55">
        <f t="shared" si="26"/>
        <v>816</v>
      </c>
      <c r="K186" s="55">
        <f t="shared" si="31"/>
        <v>784</v>
      </c>
      <c r="L186" s="55">
        <f t="shared" si="32"/>
        <v>0</v>
      </c>
      <c r="M186" s="55">
        <f t="shared" si="27"/>
        <v>170</v>
      </c>
      <c r="N186" s="55" t="str">
        <f t="shared" si="28"/>
        <v/>
      </c>
      <c r="O186" s="55">
        <f t="shared" si="29"/>
        <v>0</v>
      </c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</row>
    <row r="187" spans="1:54" x14ac:dyDescent="0.2">
      <c r="A187" s="31"/>
      <c r="B187" s="70">
        <v>168</v>
      </c>
      <c r="C187" s="52">
        <v>12</v>
      </c>
      <c r="D187" s="57">
        <v>14</v>
      </c>
      <c r="E187" s="37">
        <v>7</v>
      </c>
      <c r="F187" s="37">
        <f t="shared" si="30"/>
        <v>0</v>
      </c>
      <c r="G187" s="37" cm="1">
        <f t="array" ref="G187">IF(E187&lt;=INDEX($B$4:$B$17,C187),1,0)</f>
        <v>0</v>
      </c>
      <c r="H187" s="37">
        <f t="shared" si="25"/>
        <v>0</v>
      </c>
      <c r="I187" s="38">
        <f>IF(AND(sat_working=TRUE,E187=6),ROUNDDOWN(AVERAGE('Data for 2021'!I181:I185),0),'Data for 2021'!I186)</f>
        <v>0</v>
      </c>
      <c r="J187" s="55">
        <f t="shared" si="26"/>
        <v>784</v>
      </c>
      <c r="K187" s="55">
        <f t="shared" si="31"/>
        <v>784</v>
      </c>
      <c r="L187" s="55">
        <f t="shared" si="32"/>
        <v>0</v>
      </c>
      <c r="M187" s="55">
        <f t="shared" si="27"/>
        <v>170</v>
      </c>
      <c r="N187" s="55" t="str">
        <f t="shared" si="28"/>
        <v/>
      </c>
      <c r="O187" s="55">
        <f t="shared" si="29"/>
        <v>0</v>
      </c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</row>
    <row r="188" spans="1:54" x14ac:dyDescent="0.2">
      <c r="A188" s="31" t="s">
        <v>78</v>
      </c>
      <c r="B188" s="67">
        <v>169</v>
      </c>
      <c r="C188" s="50">
        <v>13</v>
      </c>
      <c r="D188" s="53">
        <v>1</v>
      </c>
      <c r="E188" s="35">
        <v>1</v>
      </c>
      <c r="F188" s="35">
        <f t="shared" si="30"/>
        <v>1</v>
      </c>
      <c r="G188" s="35" cm="1">
        <f t="array" ref="G188">IF(E188&lt;=INDEX($B$4:$B$17,C188),1,0)</f>
        <v>1</v>
      </c>
      <c r="H188" s="37">
        <f t="shared" si="25"/>
        <v>170</v>
      </c>
      <c r="I188" s="38">
        <f>IF(AND(sat_working=TRUE,E188=6),ROUNDDOWN(AVERAGE('Data for 2021'!I182:I186),0),'Data for 2021'!I187)</f>
        <v>145</v>
      </c>
      <c r="J188" s="55">
        <f t="shared" si="26"/>
        <v>784</v>
      </c>
      <c r="K188" s="55">
        <f t="shared" si="31"/>
        <v>759</v>
      </c>
      <c r="L188" s="55">
        <f t="shared" si="32"/>
        <v>0</v>
      </c>
      <c r="M188" s="55" t="str">
        <f t="shared" si="27"/>
        <v/>
      </c>
      <c r="N188" s="55" t="str">
        <f t="shared" si="28"/>
        <v/>
      </c>
      <c r="O188" s="55">
        <f t="shared" si="29"/>
        <v>0</v>
      </c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</row>
    <row r="189" spans="1:54" x14ac:dyDescent="0.2">
      <c r="A189" s="31"/>
      <c r="B189" s="70">
        <v>170</v>
      </c>
      <c r="C189" s="51">
        <v>13</v>
      </c>
      <c r="D189" s="55">
        <v>2</v>
      </c>
      <c r="E189" s="37">
        <v>2</v>
      </c>
      <c r="F189" s="37">
        <f t="shared" si="30"/>
        <v>1</v>
      </c>
      <c r="G189" s="37" cm="1">
        <f t="array" ref="G189">IF(E189&lt;=INDEX($B$4:$B$17,C189),1,0)</f>
        <v>1</v>
      </c>
      <c r="H189" s="37">
        <f t="shared" si="25"/>
        <v>170</v>
      </c>
      <c r="I189" s="38">
        <f>IF(AND(sat_working=TRUE,E189=6),ROUNDDOWN(AVERAGE('Data for 2021'!I183:I187),0),'Data for 2021'!I188)</f>
        <v>150</v>
      </c>
      <c r="J189" s="55">
        <f t="shared" si="26"/>
        <v>759</v>
      </c>
      <c r="K189" s="55">
        <f t="shared" si="31"/>
        <v>739</v>
      </c>
      <c r="L189" s="55">
        <f t="shared" si="32"/>
        <v>0</v>
      </c>
      <c r="M189" s="55">
        <f t="shared" si="27"/>
        <v>170</v>
      </c>
      <c r="N189" s="55" t="str">
        <f t="shared" si="28"/>
        <v/>
      </c>
      <c r="O189" s="55">
        <f t="shared" si="29"/>
        <v>0</v>
      </c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</row>
    <row r="190" spans="1:54" x14ac:dyDescent="0.2">
      <c r="A190" s="31"/>
      <c r="B190" s="67">
        <v>171</v>
      </c>
      <c r="C190" s="51">
        <v>13</v>
      </c>
      <c r="D190" s="55">
        <v>3</v>
      </c>
      <c r="E190" s="37">
        <v>3</v>
      </c>
      <c r="F190" s="37">
        <f t="shared" si="30"/>
        <v>1</v>
      </c>
      <c r="G190" s="37" cm="1">
        <f t="array" ref="G190">IF(E190&lt;=INDEX($B$4:$B$17,C190),1,0)</f>
        <v>1</v>
      </c>
      <c r="H190" s="37">
        <f t="shared" si="25"/>
        <v>170</v>
      </c>
      <c r="I190" s="38">
        <f>IF(AND(sat_working=TRUE,E190=6),ROUNDDOWN(AVERAGE('Data for 2021'!I184:I188),0),'Data for 2021'!I189)</f>
        <v>177</v>
      </c>
      <c r="J190" s="55">
        <f t="shared" si="26"/>
        <v>739</v>
      </c>
      <c r="K190" s="55">
        <f t="shared" si="31"/>
        <v>746</v>
      </c>
      <c r="L190" s="55">
        <f t="shared" si="32"/>
        <v>0</v>
      </c>
      <c r="M190" s="55">
        <f t="shared" si="27"/>
        <v>170</v>
      </c>
      <c r="N190" s="55" t="str">
        <f t="shared" si="28"/>
        <v/>
      </c>
      <c r="O190" s="55">
        <f t="shared" si="29"/>
        <v>1</v>
      </c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</row>
    <row r="191" spans="1:54" x14ac:dyDescent="0.2">
      <c r="A191" s="31"/>
      <c r="B191" s="70">
        <v>172</v>
      </c>
      <c r="C191" s="51">
        <v>13</v>
      </c>
      <c r="D191" s="55">
        <v>4</v>
      </c>
      <c r="E191" s="37">
        <v>4</v>
      </c>
      <c r="F191" s="37">
        <f t="shared" si="30"/>
        <v>1</v>
      </c>
      <c r="G191" s="37" cm="1">
        <f t="array" ref="G191">IF(E191&lt;=INDEX($B$4:$B$17,C191),1,0)</f>
        <v>1</v>
      </c>
      <c r="H191" s="37">
        <f t="shared" si="25"/>
        <v>170</v>
      </c>
      <c r="I191" s="38">
        <f>IF(AND(sat_working=TRUE,E191=6),ROUNDDOWN(AVERAGE('Data for 2021'!I185:I189),0),'Data for 2021'!I190)</f>
        <v>150</v>
      </c>
      <c r="J191" s="55">
        <f t="shared" si="26"/>
        <v>746</v>
      </c>
      <c r="K191" s="55">
        <f t="shared" si="31"/>
        <v>726</v>
      </c>
      <c r="L191" s="55">
        <f t="shared" si="32"/>
        <v>0</v>
      </c>
      <c r="M191" s="55">
        <f t="shared" si="27"/>
        <v>170</v>
      </c>
      <c r="N191" s="55" t="str">
        <f t="shared" si="28"/>
        <v/>
      </c>
      <c r="O191" s="55">
        <f t="shared" si="29"/>
        <v>0</v>
      </c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</row>
    <row r="192" spans="1:54" x14ac:dyDescent="0.2">
      <c r="A192" s="31"/>
      <c r="B192" s="67">
        <v>173</v>
      </c>
      <c r="C192" s="51">
        <v>13</v>
      </c>
      <c r="D192" s="55">
        <v>5</v>
      </c>
      <c r="E192" s="37">
        <v>5</v>
      </c>
      <c r="F192" s="37">
        <f t="shared" si="30"/>
        <v>1</v>
      </c>
      <c r="G192" s="37" cm="1">
        <f t="array" ref="G192">IF(E192&lt;=INDEX($B$4:$B$17,C192),1,0)</f>
        <v>1</v>
      </c>
      <c r="H192" s="37">
        <f t="shared" si="25"/>
        <v>170</v>
      </c>
      <c r="I192" s="38">
        <f>IF(AND(sat_working=TRUE,E192=6),ROUNDDOWN(AVERAGE('Data for 2021'!I186:I190),0),'Data for 2021'!I191)</f>
        <v>141</v>
      </c>
      <c r="J192" s="55">
        <f t="shared" si="26"/>
        <v>726</v>
      </c>
      <c r="K192" s="55">
        <f t="shared" si="31"/>
        <v>697</v>
      </c>
      <c r="L192" s="55">
        <f t="shared" si="32"/>
        <v>0</v>
      </c>
      <c r="M192" s="55">
        <f t="shared" si="27"/>
        <v>170</v>
      </c>
      <c r="N192" s="55" t="str">
        <f t="shared" si="28"/>
        <v/>
      </c>
      <c r="O192" s="55">
        <f t="shared" si="29"/>
        <v>0</v>
      </c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</row>
    <row r="193" spans="1:54" x14ac:dyDescent="0.2">
      <c r="A193" s="31"/>
      <c r="B193" s="70">
        <v>174</v>
      </c>
      <c r="C193" s="51">
        <v>13</v>
      </c>
      <c r="D193" s="55">
        <v>6</v>
      </c>
      <c r="E193" s="37">
        <v>6</v>
      </c>
      <c r="F193" s="37">
        <f t="shared" si="30"/>
        <v>1</v>
      </c>
      <c r="G193" s="37" cm="1">
        <f t="array" ref="G193">IF(E193&lt;=INDEX($B$4:$B$17,C193),1,0)</f>
        <v>1</v>
      </c>
      <c r="H193" s="37">
        <f t="shared" si="25"/>
        <v>170</v>
      </c>
      <c r="I193" s="38">
        <f>IF(AND(sat_working=TRUE,E193=6),ROUNDDOWN(AVERAGE('Data for 2021'!I187:I191,'Data for 2021'!I194:I198),0),'Data for 2021'!I192)</f>
        <v>148</v>
      </c>
      <c r="J193" s="55">
        <f t="shared" si="26"/>
        <v>697</v>
      </c>
      <c r="K193" s="55">
        <f t="shared" si="31"/>
        <v>675</v>
      </c>
      <c r="L193" s="55">
        <f t="shared" si="32"/>
        <v>0</v>
      </c>
      <c r="M193" s="55">
        <f t="shared" si="27"/>
        <v>170</v>
      </c>
      <c r="N193" s="55" t="str">
        <f t="shared" si="28"/>
        <v/>
      </c>
      <c r="O193" s="55">
        <f t="shared" si="29"/>
        <v>0</v>
      </c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</row>
    <row r="194" spans="1:54" x14ac:dyDescent="0.2">
      <c r="A194" s="31"/>
      <c r="B194" s="67">
        <v>175</v>
      </c>
      <c r="C194" s="51">
        <v>13</v>
      </c>
      <c r="D194" s="55">
        <v>7</v>
      </c>
      <c r="E194" s="37">
        <v>7</v>
      </c>
      <c r="F194" s="37">
        <f t="shared" si="30"/>
        <v>0</v>
      </c>
      <c r="G194" s="37" cm="1">
        <f t="array" ref="G194">IF(E194&lt;=INDEX($B$4:$B$17,C194),1,0)</f>
        <v>0</v>
      </c>
      <c r="H194" s="37">
        <f t="shared" si="25"/>
        <v>0</v>
      </c>
      <c r="I194" s="38">
        <f>IF(AND(sat_working=TRUE,E194=6),ROUNDDOWN(AVERAGE('Data for 2021'!I188:I192),0),'Data for 2021'!I193)</f>
        <v>0</v>
      </c>
      <c r="J194" s="55">
        <f t="shared" si="26"/>
        <v>675</v>
      </c>
      <c r="K194" s="55">
        <f t="shared" si="31"/>
        <v>675</v>
      </c>
      <c r="L194" s="55">
        <f t="shared" si="32"/>
        <v>0</v>
      </c>
      <c r="M194" s="55">
        <f t="shared" si="27"/>
        <v>170</v>
      </c>
      <c r="N194" s="55" t="str">
        <f t="shared" si="28"/>
        <v/>
      </c>
      <c r="O194" s="55">
        <f t="shared" si="29"/>
        <v>0</v>
      </c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</row>
    <row r="195" spans="1:54" x14ac:dyDescent="0.2">
      <c r="A195" s="31"/>
      <c r="B195" s="70">
        <v>176</v>
      </c>
      <c r="C195" s="51">
        <v>13</v>
      </c>
      <c r="D195" s="55">
        <v>8</v>
      </c>
      <c r="E195" s="35">
        <v>1</v>
      </c>
      <c r="F195" s="35">
        <f t="shared" si="30"/>
        <v>1</v>
      </c>
      <c r="G195" s="37" cm="1">
        <f t="array" ref="G195">IF(E195&lt;=INDEX($B$4:$B$17,C195),1,0)</f>
        <v>1</v>
      </c>
      <c r="H195" s="37">
        <f t="shared" si="25"/>
        <v>170</v>
      </c>
      <c r="I195" s="38">
        <f>IF(AND(sat_working=TRUE,E195=6),ROUNDDOWN(AVERAGE('Data for 2021'!I189:I193),0),'Data for 2021'!I194)</f>
        <v>143</v>
      </c>
      <c r="J195" s="55">
        <f t="shared" si="26"/>
        <v>675</v>
      </c>
      <c r="K195" s="55">
        <f t="shared" si="31"/>
        <v>648</v>
      </c>
      <c r="L195" s="55">
        <f t="shared" si="32"/>
        <v>0</v>
      </c>
      <c r="M195" s="55" t="str">
        <f t="shared" si="27"/>
        <v/>
      </c>
      <c r="N195" s="55" t="str">
        <f t="shared" si="28"/>
        <v/>
      </c>
      <c r="O195" s="55">
        <f t="shared" si="29"/>
        <v>0</v>
      </c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</row>
    <row r="196" spans="1:54" x14ac:dyDescent="0.2">
      <c r="A196" s="31"/>
      <c r="B196" s="67">
        <v>177</v>
      </c>
      <c r="C196" s="51">
        <v>13</v>
      </c>
      <c r="D196" s="55">
        <v>9</v>
      </c>
      <c r="E196" s="37">
        <v>2</v>
      </c>
      <c r="F196" s="37">
        <f t="shared" si="30"/>
        <v>1</v>
      </c>
      <c r="G196" s="37" cm="1">
        <f t="array" ref="G196">IF(E196&lt;=INDEX($B$4:$B$17,C196),1,0)</f>
        <v>1</v>
      </c>
      <c r="H196" s="37">
        <f t="shared" si="25"/>
        <v>170</v>
      </c>
      <c r="I196" s="38">
        <f>IF(AND(sat_working=TRUE,E196=6),ROUNDDOWN(AVERAGE('Data for 2021'!I190:I194),0),'Data for 2021'!I195)</f>
        <v>158</v>
      </c>
      <c r="J196" s="55">
        <f t="shared" si="26"/>
        <v>648</v>
      </c>
      <c r="K196" s="55">
        <f t="shared" si="31"/>
        <v>636</v>
      </c>
      <c r="L196" s="55">
        <f t="shared" si="32"/>
        <v>0</v>
      </c>
      <c r="M196" s="55">
        <f t="shared" si="27"/>
        <v>170</v>
      </c>
      <c r="N196" s="55" t="str">
        <f t="shared" si="28"/>
        <v/>
      </c>
      <c r="O196" s="55">
        <f t="shared" si="29"/>
        <v>0</v>
      </c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</row>
    <row r="197" spans="1:54" x14ac:dyDescent="0.2">
      <c r="A197" s="31"/>
      <c r="B197" s="70">
        <v>178</v>
      </c>
      <c r="C197" s="51">
        <v>13</v>
      </c>
      <c r="D197" s="55">
        <v>10</v>
      </c>
      <c r="E197" s="37">
        <v>3</v>
      </c>
      <c r="F197" s="37">
        <f t="shared" si="30"/>
        <v>1</v>
      </c>
      <c r="G197" s="37" cm="1">
        <f t="array" ref="G197">IF(E197&lt;=INDEX($B$4:$B$17,C197),1,0)</f>
        <v>1</v>
      </c>
      <c r="H197" s="37">
        <f t="shared" si="25"/>
        <v>170</v>
      </c>
      <c r="I197" s="38">
        <f>IF(AND(sat_working=TRUE,E197=6),ROUNDDOWN(AVERAGE('Data for 2021'!I191:I195),0),'Data for 2021'!I196)</f>
        <v>163</v>
      </c>
      <c r="J197" s="55">
        <f t="shared" si="26"/>
        <v>636</v>
      </c>
      <c r="K197" s="55">
        <f t="shared" si="31"/>
        <v>629</v>
      </c>
      <c r="L197" s="55">
        <f t="shared" si="32"/>
        <v>0</v>
      </c>
      <c r="M197" s="55">
        <f t="shared" si="27"/>
        <v>170</v>
      </c>
      <c r="N197" s="55" t="str">
        <f t="shared" si="28"/>
        <v/>
      </c>
      <c r="O197" s="55">
        <f t="shared" si="29"/>
        <v>0</v>
      </c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</row>
    <row r="198" spans="1:54" x14ac:dyDescent="0.2">
      <c r="A198" s="31"/>
      <c r="B198" s="67">
        <v>179</v>
      </c>
      <c r="C198" s="51">
        <v>13</v>
      </c>
      <c r="D198" s="55">
        <v>11</v>
      </c>
      <c r="E198" s="37">
        <v>4</v>
      </c>
      <c r="F198" s="37">
        <f t="shared" si="30"/>
        <v>1</v>
      </c>
      <c r="G198" s="37" cm="1">
        <f t="array" ref="G198">IF(E198&lt;=INDEX($B$4:$B$17,C198),1,0)</f>
        <v>1</v>
      </c>
      <c r="H198" s="37">
        <f t="shared" si="25"/>
        <v>170</v>
      </c>
      <c r="I198" s="38">
        <f>IF(AND(sat_working=TRUE,E198=6),ROUNDDOWN(AVERAGE('Data for 2021'!I192:I196),0),'Data for 2021'!I197)</f>
        <v>128</v>
      </c>
      <c r="J198" s="55">
        <f t="shared" si="26"/>
        <v>629</v>
      </c>
      <c r="K198" s="55">
        <f t="shared" si="31"/>
        <v>587</v>
      </c>
      <c r="L198" s="55">
        <f t="shared" si="32"/>
        <v>0</v>
      </c>
      <c r="M198" s="55">
        <f t="shared" si="27"/>
        <v>170</v>
      </c>
      <c r="N198" s="55" t="str">
        <f t="shared" si="28"/>
        <v/>
      </c>
      <c r="O198" s="55">
        <f t="shared" si="29"/>
        <v>0</v>
      </c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</row>
    <row r="199" spans="1:54" x14ac:dyDescent="0.2">
      <c r="A199" s="31"/>
      <c r="B199" s="70">
        <v>180</v>
      </c>
      <c r="C199" s="51">
        <v>13</v>
      </c>
      <c r="D199" s="55">
        <v>12</v>
      </c>
      <c r="E199" s="37">
        <v>5</v>
      </c>
      <c r="F199" s="37">
        <f t="shared" si="30"/>
        <v>1</v>
      </c>
      <c r="G199" s="37" cm="1">
        <f t="array" ref="G199">IF(E199&lt;=INDEX($B$4:$B$17,C199),1,0)</f>
        <v>1</v>
      </c>
      <c r="H199" s="37">
        <f t="shared" si="25"/>
        <v>170</v>
      </c>
      <c r="I199" s="38">
        <f>IF(AND(sat_working=TRUE,E199=6),ROUNDDOWN(AVERAGE('Data for 2021'!I193:I197),0),'Data for 2021'!I198)</f>
        <v>129</v>
      </c>
      <c r="J199" s="55">
        <f t="shared" si="26"/>
        <v>587</v>
      </c>
      <c r="K199" s="55">
        <f t="shared" si="31"/>
        <v>546</v>
      </c>
      <c r="L199" s="55">
        <f t="shared" si="32"/>
        <v>0</v>
      </c>
      <c r="M199" s="55">
        <f t="shared" si="27"/>
        <v>170</v>
      </c>
      <c r="N199" s="55" t="str">
        <f t="shared" si="28"/>
        <v/>
      </c>
      <c r="O199" s="55">
        <f t="shared" si="29"/>
        <v>0</v>
      </c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</row>
    <row r="200" spans="1:54" x14ac:dyDescent="0.2">
      <c r="A200" s="31"/>
      <c r="B200" s="67">
        <v>181</v>
      </c>
      <c r="C200" s="51">
        <v>13</v>
      </c>
      <c r="D200" s="55">
        <v>13</v>
      </c>
      <c r="E200" s="37">
        <v>6</v>
      </c>
      <c r="F200" s="37">
        <f t="shared" si="30"/>
        <v>1</v>
      </c>
      <c r="G200" s="37" cm="1">
        <f t="array" ref="G200">IF(E200&lt;=INDEX($B$4:$B$17,C200),1,0)</f>
        <v>1</v>
      </c>
      <c r="H200" s="37">
        <f t="shared" si="25"/>
        <v>170</v>
      </c>
      <c r="I200" s="38">
        <f>I193</f>
        <v>148</v>
      </c>
      <c r="J200" s="55">
        <f t="shared" si="26"/>
        <v>546</v>
      </c>
      <c r="K200" s="55">
        <f t="shared" si="31"/>
        <v>524</v>
      </c>
      <c r="L200" s="55">
        <f t="shared" si="32"/>
        <v>0</v>
      </c>
      <c r="M200" s="55">
        <f t="shared" si="27"/>
        <v>170</v>
      </c>
      <c r="N200" s="55" t="str">
        <f t="shared" si="28"/>
        <v/>
      </c>
      <c r="O200" s="55">
        <f t="shared" si="29"/>
        <v>0</v>
      </c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</row>
    <row r="201" spans="1:54" x14ac:dyDescent="0.2">
      <c r="A201" s="31"/>
      <c r="B201" s="70">
        <v>182</v>
      </c>
      <c r="C201" s="52">
        <v>13</v>
      </c>
      <c r="D201" s="57">
        <v>14</v>
      </c>
      <c r="E201" s="37">
        <v>7</v>
      </c>
      <c r="F201" s="37">
        <f t="shared" si="30"/>
        <v>0</v>
      </c>
      <c r="G201" s="37" cm="1">
        <f t="array" ref="G201">IF(E201&lt;=INDEX($B$4:$B$17,C201),1,0)</f>
        <v>0</v>
      </c>
      <c r="H201" s="37">
        <f t="shared" si="25"/>
        <v>0</v>
      </c>
      <c r="I201" s="38">
        <f>IF(AND(sat_working=TRUE,E201=6),ROUNDDOWN(AVERAGE('Data for 2021'!I195:I199),0),'Data for 2021'!I200)</f>
        <v>0</v>
      </c>
      <c r="J201" s="55">
        <f t="shared" si="26"/>
        <v>524</v>
      </c>
      <c r="K201" s="55">
        <f t="shared" si="31"/>
        <v>524</v>
      </c>
      <c r="L201" s="55">
        <f t="shared" si="32"/>
        <v>0</v>
      </c>
      <c r="M201" s="55">
        <f t="shared" si="27"/>
        <v>170</v>
      </c>
      <c r="N201" s="55" t="str">
        <f t="shared" si="28"/>
        <v/>
      </c>
      <c r="O201" s="55">
        <f t="shared" si="29"/>
        <v>0</v>
      </c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</row>
    <row r="202" spans="1:54" x14ac:dyDescent="0.2">
      <c r="A202" s="31" t="s">
        <v>74</v>
      </c>
      <c r="B202" s="67">
        <v>183</v>
      </c>
      <c r="C202" s="50">
        <v>14</v>
      </c>
      <c r="D202" s="53">
        <v>1</v>
      </c>
      <c r="E202" s="35">
        <v>1</v>
      </c>
      <c r="F202" s="35">
        <f t="shared" si="30"/>
        <v>1</v>
      </c>
      <c r="G202" s="35" cm="1">
        <f t="array" ref="G202">IF(E202&lt;=INDEX($B$4:$B$17,C202),1,0)</f>
        <v>1</v>
      </c>
      <c r="H202" s="37">
        <f t="shared" si="25"/>
        <v>170</v>
      </c>
      <c r="I202" s="38">
        <f>IF(AND(sat_working=TRUE,E202=6),ROUNDDOWN(AVERAGE('Data for 2021'!I196:I200),0),'Data for 2021'!I201)</f>
        <v>140</v>
      </c>
      <c r="J202" s="55">
        <f t="shared" si="26"/>
        <v>524</v>
      </c>
      <c r="K202" s="55">
        <f t="shared" si="31"/>
        <v>494</v>
      </c>
      <c r="L202" s="55">
        <f t="shared" si="32"/>
        <v>0</v>
      </c>
      <c r="M202" s="55" t="str">
        <f t="shared" si="27"/>
        <v/>
      </c>
      <c r="N202" s="55" t="str">
        <f t="shared" si="28"/>
        <v/>
      </c>
      <c r="O202" s="55">
        <f t="shared" si="29"/>
        <v>0</v>
      </c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</row>
    <row r="203" spans="1:54" x14ac:dyDescent="0.2">
      <c r="A203" s="31"/>
      <c r="B203" s="70">
        <v>184</v>
      </c>
      <c r="C203" s="51">
        <v>14</v>
      </c>
      <c r="D203" s="55">
        <v>2</v>
      </c>
      <c r="E203" s="37">
        <v>2</v>
      </c>
      <c r="F203" s="37">
        <f t="shared" si="30"/>
        <v>1</v>
      </c>
      <c r="G203" s="37" cm="1">
        <f t="array" ref="G203">IF(E203&lt;=INDEX($B$4:$B$17,C203),1,0)</f>
        <v>1</v>
      </c>
      <c r="H203" s="37">
        <f t="shared" si="25"/>
        <v>170</v>
      </c>
      <c r="I203" s="38">
        <f>IF(AND(sat_working=TRUE,E203=6),ROUNDDOWN(AVERAGE('Data for 2021'!I197:I201),0),'Data for 2021'!I202)</f>
        <v>150</v>
      </c>
      <c r="J203" s="55">
        <f t="shared" si="26"/>
        <v>494</v>
      </c>
      <c r="K203" s="55">
        <f t="shared" si="31"/>
        <v>474</v>
      </c>
      <c r="L203" s="55">
        <f t="shared" si="32"/>
        <v>0</v>
      </c>
      <c r="M203" s="55">
        <f t="shared" si="27"/>
        <v>170</v>
      </c>
      <c r="N203" s="55" t="str">
        <f t="shared" si="28"/>
        <v/>
      </c>
      <c r="O203" s="55">
        <f t="shared" si="29"/>
        <v>0</v>
      </c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</row>
    <row r="204" spans="1:54" x14ac:dyDescent="0.2">
      <c r="A204" s="31"/>
      <c r="B204" s="67">
        <v>185</v>
      </c>
      <c r="C204" s="51">
        <v>14</v>
      </c>
      <c r="D204" s="55">
        <v>3</v>
      </c>
      <c r="E204" s="37">
        <v>3</v>
      </c>
      <c r="F204" s="37">
        <f t="shared" si="30"/>
        <v>1</v>
      </c>
      <c r="G204" s="37" cm="1">
        <f t="array" ref="G204">IF(E204&lt;=INDEX($B$4:$B$17,C204),1,0)</f>
        <v>1</v>
      </c>
      <c r="H204" s="37">
        <f t="shared" si="25"/>
        <v>170</v>
      </c>
      <c r="I204" s="38">
        <f>IF(AND(sat_working=TRUE,E204=6),ROUNDDOWN(AVERAGE('Data for 2021'!I198:I202),0),'Data for 2021'!I203)</f>
        <v>171</v>
      </c>
      <c r="J204" s="55">
        <f t="shared" si="26"/>
        <v>474</v>
      </c>
      <c r="K204" s="55">
        <f t="shared" si="31"/>
        <v>475</v>
      </c>
      <c r="L204" s="55">
        <f t="shared" si="32"/>
        <v>0</v>
      </c>
      <c r="M204" s="55">
        <f t="shared" si="27"/>
        <v>170</v>
      </c>
      <c r="N204" s="55" t="str">
        <f t="shared" si="28"/>
        <v/>
      </c>
      <c r="O204" s="55">
        <f t="shared" si="29"/>
        <v>1</v>
      </c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</row>
    <row r="205" spans="1:54" x14ac:dyDescent="0.2">
      <c r="A205" s="31"/>
      <c r="B205" s="70">
        <v>186</v>
      </c>
      <c r="C205" s="51">
        <v>14</v>
      </c>
      <c r="D205" s="55">
        <v>4</v>
      </c>
      <c r="E205" s="37">
        <v>4</v>
      </c>
      <c r="F205" s="37">
        <f t="shared" si="30"/>
        <v>1</v>
      </c>
      <c r="G205" s="37" cm="1">
        <f t="array" ref="G205">IF(E205&lt;=INDEX($B$4:$B$17,C205),1,0)</f>
        <v>1</v>
      </c>
      <c r="H205" s="37">
        <f t="shared" si="25"/>
        <v>170</v>
      </c>
      <c r="I205" s="38">
        <f>IF(AND(sat_working=TRUE,E205=6),ROUNDDOWN(AVERAGE('Data for 2021'!I199:I203),0),'Data for 2021'!I204)</f>
        <v>127</v>
      </c>
      <c r="J205" s="55">
        <f t="shared" si="26"/>
        <v>475</v>
      </c>
      <c r="K205" s="55">
        <f t="shared" si="31"/>
        <v>432</v>
      </c>
      <c r="L205" s="55">
        <f t="shared" si="32"/>
        <v>0</v>
      </c>
      <c r="M205" s="55">
        <f t="shared" si="27"/>
        <v>170</v>
      </c>
      <c r="N205" s="55" t="str">
        <f t="shared" si="28"/>
        <v/>
      </c>
      <c r="O205" s="55">
        <f t="shared" si="29"/>
        <v>0</v>
      </c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</row>
    <row r="206" spans="1:54" x14ac:dyDescent="0.2">
      <c r="A206" s="31"/>
      <c r="B206" s="67">
        <v>187</v>
      </c>
      <c r="C206" s="51">
        <v>14</v>
      </c>
      <c r="D206" s="55">
        <v>5</v>
      </c>
      <c r="E206" s="37">
        <v>5</v>
      </c>
      <c r="F206" s="37">
        <f t="shared" si="30"/>
        <v>1</v>
      </c>
      <c r="G206" s="37" cm="1">
        <f t="array" ref="G206">IF(E206&lt;=INDEX($B$4:$B$17,C206),1,0)</f>
        <v>1</v>
      </c>
      <c r="H206" s="37">
        <f t="shared" si="25"/>
        <v>170</v>
      </c>
      <c r="I206" s="38">
        <f>IF(AND(sat_working=TRUE,E206=6),ROUNDDOWN(AVERAGE('Data for 2021'!I200:I204),0),'Data for 2021'!I205)</f>
        <v>98</v>
      </c>
      <c r="J206" s="55">
        <f t="shared" si="26"/>
        <v>432</v>
      </c>
      <c r="K206" s="55">
        <f t="shared" si="31"/>
        <v>360</v>
      </c>
      <c r="L206" s="55">
        <f t="shared" si="32"/>
        <v>0</v>
      </c>
      <c r="M206" s="55">
        <f t="shared" si="27"/>
        <v>170</v>
      </c>
      <c r="N206" s="55" t="str">
        <f t="shared" si="28"/>
        <v/>
      </c>
      <c r="O206" s="55">
        <f t="shared" si="29"/>
        <v>0</v>
      </c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</row>
    <row r="207" spans="1:54" x14ac:dyDescent="0.2">
      <c r="A207" s="31"/>
      <c r="B207" s="70">
        <v>188</v>
      </c>
      <c r="C207" s="51">
        <v>14</v>
      </c>
      <c r="D207" s="55">
        <v>6</v>
      </c>
      <c r="E207" s="37">
        <v>6</v>
      </c>
      <c r="F207" s="37">
        <f t="shared" si="30"/>
        <v>1</v>
      </c>
      <c r="G207" s="37" cm="1">
        <f t="array" ref="G207">IF(E207&lt;=INDEX($B$4:$B$17,C207),1,0)</f>
        <v>1</v>
      </c>
      <c r="H207" s="37">
        <f t="shared" si="25"/>
        <v>170</v>
      </c>
      <c r="I207" s="38">
        <f>IF(AND(sat_working=TRUE,E207=6),ROUNDDOWN(AVERAGE('Data for 2021'!I201:I205,'Data for 2021'!I208:I211),0),'Data for 2021'!I206)</f>
        <v>143</v>
      </c>
      <c r="J207" s="55">
        <f t="shared" si="26"/>
        <v>360</v>
      </c>
      <c r="K207" s="55">
        <f t="shared" si="31"/>
        <v>333</v>
      </c>
      <c r="L207" s="55">
        <f t="shared" si="32"/>
        <v>0</v>
      </c>
      <c r="M207" s="55">
        <f t="shared" si="27"/>
        <v>170</v>
      </c>
      <c r="N207" s="55" t="str">
        <f t="shared" si="28"/>
        <v/>
      </c>
      <c r="O207" s="55">
        <f t="shared" si="29"/>
        <v>0</v>
      </c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</row>
    <row r="208" spans="1:54" x14ac:dyDescent="0.2">
      <c r="A208" s="31"/>
      <c r="B208" s="67">
        <v>189</v>
      </c>
      <c r="C208" s="51">
        <v>14</v>
      </c>
      <c r="D208" s="55">
        <v>7</v>
      </c>
      <c r="E208" s="37">
        <v>7</v>
      </c>
      <c r="F208" s="37">
        <f t="shared" si="30"/>
        <v>0</v>
      </c>
      <c r="G208" s="37" cm="1">
        <f t="array" ref="G208">IF(E208&lt;=INDEX($B$4:$B$17,C208),1,0)</f>
        <v>0</v>
      </c>
      <c r="H208" s="37">
        <f t="shared" si="25"/>
        <v>0</v>
      </c>
      <c r="I208" s="38">
        <f>IF(AND(sat_working=TRUE,E208=6),ROUNDDOWN(AVERAGE('Data for 2021'!I202:I206),0),'Data for 2021'!I207)</f>
        <v>0</v>
      </c>
      <c r="J208" s="55">
        <f t="shared" si="26"/>
        <v>333</v>
      </c>
      <c r="K208" s="55">
        <f t="shared" si="31"/>
        <v>333</v>
      </c>
      <c r="L208" s="55">
        <f t="shared" si="32"/>
        <v>0</v>
      </c>
      <c r="M208" s="55">
        <f t="shared" si="27"/>
        <v>170</v>
      </c>
      <c r="N208" s="55" t="str">
        <f t="shared" si="28"/>
        <v/>
      </c>
      <c r="O208" s="55">
        <f t="shared" si="29"/>
        <v>0</v>
      </c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</row>
    <row r="209" spans="1:54" x14ac:dyDescent="0.2">
      <c r="A209" s="31"/>
      <c r="B209" s="70">
        <v>190</v>
      </c>
      <c r="C209" s="51">
        <v>14</v>
      </c>
      <c r="D209" s="55">
        <v>8</v>
      </c>
      <c r="E209" s="35">
        <v>1</v>
      </c>
      <c r="F209" s="35">
        <f t="shared" si="30"/>
        <v>1</v>
      </c>
      <c r="G209" s="37" cm="1">
        <f t="array" ref="G209">IF(E209&lt;=INDEX($B$4:$B$17,C209),1,0)</f>
        <v>1</v>
      </c>
      <c r="H209" s="37">
        <f t="shared" si="25"/>
        <v>170</v>
      </c>
      <c r="I209" s="38">
        <f>IF(AND(sat_working=TRUE,E209=6),ROUNDDOWN(AVERAGE('Data for 2021'!I203:I207),0),'Data for 2021'!I208)</f>
        <v>133</v>
      </c>
      <c r="J209" s="55">
        <f t="shared" si="26"/>
        <v>333</v>
      </c>
      <c r="K209" s="55">
        <f t="shared" si="31"/>
        <v>296</v>
      </c>
      <c r="L209" s="55">
        <f t="shared" si="32"/>
        <v>0</v>
      </c>
      <c r="M209" s="55" t="str">
        <f t="shared" si="27"/>
        <v/>
      </c>
      <c r="N209" s="55" t="str">
        <f t="shared" si="28"/>
        <v/>
      </c>
      <c r="O209" s="55">
        <f t="shared" si="29"/>
        <v>0</v>
      </c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</row>
    <row r="210" spans="1:54" x14ac:dyDescent="0.2">
      <c r="A210" s="31"/>
      <c r="B210" s="67">
        <v>191</v>
      </c>
      <c r="C210" s="51">
        <v>14</v>
      </c>
      <c r="D210" s="55">
        <v>9</v>
      </c>
      <c r="E210" s="37">
        <v>2</v>
      </c>
      <c r="F210" s="37">
        <f t="shared" si="30"/>
        <v>1</v>
      </c>
      <c r="G210" s="37" cm="1">
        <f t="array" ref="G210">IF(E210&lt;=INDEX($B$4:$B$17,C210),1,0)</f>
        <v>1</v>
      </c>
      <c r="H210" s="37">
        <f t="shared" si="25"/>
        <v>170</v>
      </c>
      <c r="I210" s="38">
        <f>IF(AND(sat_working=TRUE,E210=6),ROUNDDOWN(AVERAGE('Data for 2021'!I204:I208),0),'Data for 2021'!I209)</f>
        <v>141</v>
      </c>
      <c r="J210" s="55">
        <f t="shared" si="26"/>
        <v>296</v>
      </c>
      <c r="K210" s="55">
        <f t="shared" si="31"/>
        <v>267</v>
      </c>
      <c r="L210" s="55">
        <f t="shared" si="32"/>
        <v>0</v>
      </c>
      <c r="M210" s="55">
        <f t="shared" si="27"/>
        <v>170</v>
      </c>
      <c r="N210" s="55" t="str">
        <f t="shared" si="28"/>
        <v/>
      </c>
      <c r="O210" s="55">
        <f t="shared" si="29"/>
        <v>0</v>
      </c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</row>
    <row r="211" spans="1:54" x14ac:dyDescent="0.2">
      <c r="A211" s="31"/>
      <c r="B211" s="70">
        <v>192</v>
      </c>
      <c r="C211" s="51">
        <v>14</v>
      </c>
      <c r="D211" s="55">
        <v>10</v>
      </c>
      <c r="E211" s="37">
        <v>3</v>
      </c>
      <c r="F211" s="37">
        <f t="shared" si="30"/>
        <v>1</v>
      </c>
      <c r="G211" s="37" cm="1">
        <f t="array" ref="G211">IF(E211&lt;=INDEX($B$4:$B$17,C211),1,0)</f>
        <v>1</v>
      </c>
      <c r="H211" s="37">
        <f t="shared" si="25"/>
        <v>170</v>
      </c>
      <c r="I211" s="38">
        <f>IF(AND(sat_working=TRUE,E211=6),ROUNDDOWN(AVERAGE('Data for 2021'!I205:I209),0),'Data for 2021'!I210)</f>
        <v>171</v>
      </c>
      <c r="J211" s="55">
        <f t="shared" si="26"/>
        <v>267</v>
      </c>
      <c r="K211" s="55">
        <f t="shared" si="31"/>
        <v>268</v>
      </c>
      <c r="L211" s="55">
        <f t="shared" si="32"/>
        <v>0</v>
      </c>
      <c r="M211" s="55">
        <f t="shared" si="27"/>
        <v>170</v>
      </c>
      <c r="N211" s="55" t="str">
        <f t="shared" si="28"/>
        <v/>
      </c>
      <c r="O211" s="55">
        <f t="shared" si="29"/>
        <v>1</v>
      </c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</row>
    <row r="212" spans="1:54" x14ac:dyDescent="0.2">
      <c r="A212" s="31"/>
      <c r="B212" s="67">
        <v>193</v>
      </c>
      <c r="C212" s="51">
        <v>14</v>
      </c>
      <c r="D212" s="55">
        <v>11</v>
      </c>
      <c r="E212" s="37">
        <v>4</v>
      </c>
      <c r="F212" s="37">
        <f t="shared" ref="F212:F215" si="33">IF(OR(I212&lt;&gt;0,(AND(sat_working=TRUE,E212=6))),1,0)</f>
        <v>1</v>
      </c>
      <c r="G212" s="37" cm="1">
        <f t="array" ref="G212">IF(E212&lt;=INDEX($B$4:$B$17,C212),1,0)</f>
        <v>1</v>
      </c>
      <c r="H212" s="37">
        <f t="shared" si="25"/>
        <v>170</v>
      </c>
      <c r="I212" s="38">
        <f>IF(AND(sat_working=TRUE,E212=6),ROUNDDOWN(AVERAGE('Data for 2021'!I206:I210),0),'Data for 2021'!I211)</f>
        <v>157</v>
      </c>
      <c r="J212" s="55">
        <f t="shared" si="26"/>
        <v>268</v>
      </c>
      <c r="K212" s="55">
        <f t="shared" ref="K212:K215" si="34">J212+I212-H212</f>
        <v>255</v>
      </c>
      <c r="L212" s="55">
        <f t="shared" si="32"/>
        <v>0</v>
      </c>
      <c r="M212" s="55">
        <f t="shared" si="27"/>
        <v>170</v>
      </c>
      <c r="N212" s="55" t="str">
        <f t="shared" si="28"/>
        <v/>
      </c>
      <c r="O212" s="55">
        <f t="shared" si="29"/>
        <v>0</v>
      </c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</row>
    <row r="213" spans="1:54" x14ac:dyDescent="0.2">
      <c r="A213" s="31"/>
      <c r="B213" s="70">
        <v>194</v>
      </c>
      <c r="C213" s="51">
        <v>14</v>
      </c>
      <c r="D213" s="55">
        <v>12</v>
      </c>
      <c r="E213" s="37">
        <v>5</v>
      </c>
      <c r="F213" s="37">
        <f t="shared" si="33"/>
        <v>0</v>
      </c>
      <c r="G213" s="37" cm="1">
        <f t="array" ref="G213">IF(E213&lt;=INDEX($B$4:$B$17,C213),1,0)</f>
        <v>1</v>
      </c>
      <c r="H213" s="37">
        <f t="shared" si="25"/>
        <v>170</v>
      </c>
      <c r="I213" s="38">
        <f>IF(AND(sat_working=TRUE,E213=6),ROUNDDOWN(AVERAGE('Data for 2021'!I207:I211),0),'Data for 2021'!I212)</f>
        <v>0</v>
      </c>
      <c r="J213" s="55">
        <f t="shared" si="26"/>
        <v>255</v>
      </c>
      <c r="K213" s="55">
        <f t="shared" si="34"/>
        <v>85</v>
      </c>
      <c r="L213" s="55">
        <f t="shared" si="32"/>
        <v>0</v>
      </c>
      <c r="M213" s="55">
        <f t="shared" si="27"/>
        <v>170</v>
      </c>
      <c r="N213" s="55" t="str">
        <f t="shared" si="28"/>
        <v/>
      </c>
      <c r="O213" s="55">
        <f t="shared" si="29"/>
        <v>0</v>
      </c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</row>
    <row r="214" spans="1:54" x14ac:dyDescent="0.2">
      <c r="A214" s="31"/>
      <c r="B214" s="67">
        <v>195</v>
      </c>
      <c r="C214" s="51">
        <v>14</v>
      </c>
      <c r="D214" s="55">
        <v>13</v>
      </c>
      <c r="E214" s="37">
        <v>6</v>
      </c>
      <c r="F214" s="37">
        <f t="shared" si="33"/>
        <v>1</v>
      </c>
      <c r="G214" s="37" cm="1">
        <f t="array" ref="G214">IF(E214&lt;=INDEX($B$4:$B$17,C214),1,0)</f>
        <v>1</v>
      </c>
      <c r="H214" s="37">
        <f t="shared" ref="H214:H215" si="35">IF(G214=1,MIN(J214,$H$12),0)</f>
        <v>85</v>
      </c>
      <c r="I214" s="38">
        <v>0</v>
      </c>
      <c r="J214" s="55">
        <f t="shared" ref="J214:J215" si="36">K213</f>
        <v>85</v>
      </c>
      <c r="K214" s="55">
        <f t="shared" si="34"/>
        <v>0</v>
      </c>
      <c r="L214" s="55">
        <f t="shared" si="32"/>
        <v>1</v>
      </c>
      <c r="M214" s="55">
        <f t="shared" ref="M214:M215" si="37">IF(OR(G213=0,L213=1),"",H213)</f>
        <v>170</v>
      </c>
      <c r="N214" s="55">
        <f t="shared" ref="N214:N215" si="38">IF(AND(G214=1,L214=1),H214,"")</f>
        <v>85</v>
      </c>
      <c r="O214" s="55">
        <f t="shared" ref="O214:O215" si="39">IF(AND(K214&gt;K213,F214=1),1,0)</f>
        <v>0</v>
      </c>
      <c r="P214" s="31"/>
      <c r="Q214" s="31"/>
      <c r="R214" s="31"/>
      <c r="S214" s="31"/>
      <c r="T214" s="31"/>
      <c r="U214" s="31"/>
      <c r="V214" s="31"/>
      <c r="W214" s="31"/>
      <c r="X214" s="31"/>
      <c r="Y214" s="77"/>
      <c r="Z214" s="31"/>
      <c r="AA214" s="31"/>
      <c r="AB214" s="77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</row>
    <row r="215" spans="1:54" x14ac:dyDescent="0.2">
      <c r="A215" s="31"/>
      <c r="B215" s="70">
        <v>196</v>
      </c>
      <c r="C215" s="52">
        <v>14</v>
      </c>
      <c r="D215" s="57">
        <v>14</v>
      </c>
      <c r="E215" s="39">
        <v>7</v>
      </c>
      <c r="F215" s="39">
        <f t="shared" si="33"/>
        <v>0</v>
      </c>
      <c r="G215" s="39" cm="1">
        <f t="array" ref="G215">IF(E215&lt;=INDEX($B$4:$B$17,C215),1,0)</f>
        <v>0</v>
      </c>
      <c r="H215" s="37">
        <f t="shared" si="35"/>
        <v>0</v>
      </c>
      <c r="I215" s="38">
        <f>IF(AND(sat_working=TRUE,E215=6),ROUNDDOWN(AVERAGE('Data for 2021'!I209:I213),0),'Data for 2021'!I214)</f>
        <v>0</v>
      </c>
      <c r="J215" s="55">
        <f t="shared" si="36"/>
        <v>0</v>
      </c>
      <c r="K215" s="55">
        <f t="shared" si="34"/>
        <v>0</v>
      </c>
      <c r="L215" s="55">
        <f t="shared" si="32"/>
        <v>0</v>
      </c>
      <c r="M215" s="55" t="str">
        <f t="shared" si="37"/>
        <v/>
      </c>
      <c r="N215" s="55" t="str">
        <f t="shared" si="38"/>
        <v/>
      </c>
      <c r="O215" s="55">
        <f t="shared" si="39"/>
        <v>0</v>
      </c>
      <c r="P215" s="31"/>
      <c r="Q215" s="31"/>
      <c r="R215" s="31"/>
      <c r="S215" s="31"/>
      <c r="T215" s="31"/>
      <c r="U215" s="31"/>
      <c r="V215" s="31"/>
      <c r="W215" s="31"/>
      <c r="X215" s="31"/>
      <c r="Y215" s="77"/>
      <c r="Z215" s="31"/>
      <c r="AA215" s="31"/>
      <c r="AB215" s="77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</row>
    <row r="216" spans="1:54" s="31" customFormat="1" x14ac:dyDescent="0.2">
      <c r="B216" s="71"/>
      <c r="Y216" s="77"/>
      <c r="AB216" s="77"/>
    </row>
    <row r="217" spans="1:54" s="31" customFormat="1" x14ac:dyDescent="0.2">
      <c r="B217" s="71"/>
      <c r="Y217" s="77"/>
      <c r="AB217" s="77"/>
    </row>
    <row r="218" spans="1:54" s="31" customFormat="1" x14ac:dyDescent="0.2">
      <c r="B218" s="71"/>
      <c r="Y218" s="77"/>
      <c r="AB218" s="77"/>
    </row>
    <row r="219" spans="1:54" s="31" customFormat="1" x14ac:dyDescent="0.2">
      <c r="B219" s="71"/>
      <c r="Y219" s="77"/>
      <c r="AB219" s="77"/>
    </row>
    <row r="220" spans="1:54" s="31" customFormat="1" x14ac:dyDescent="0.2">
      <c r="B220" s="71"/>
      <c r="Y220" s="77"/>
      <c r="AB220" s="77"/>
    </row>
    <row r="221" spans="1:54" s="31" customFormat="1" x14ac:dyDescent="0.2">
      <c r="B221" s="71"/>
      <c r="Y221" s="77"/>
      <c r="AB221" s="77"/>
    </row>
    <row r="222" spans="1:54" s="31" customFormat="1" x14ac:dyDescent="0.2">
      <c r="B222" s="71"/>
      <c r="Y222" s="77"/>
      <c r="AB222" s="77"/>
    </row>
    <row r="223" spans="1:54" x14ac:dyDescent="0.2">
      <c r="AH223" s="31"/>
      <c r="AI223" s="31"/>
      <c r="AJ223" s="3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Check Box 3">
              <controlPr defaultSize="0" autoFill="0" autoLine="0" autoPict="0">
                <anchor moveWithCells="1">
                  <from>
                    <xdr:col>2</xdr:col>
                    <xdr:colOff>406400</xdr:colOff>
                    <xdr:row>12</xdr:row>
                    <xdr:rowOff>63500</xdr:rowOff>
                  </from>
                  <to>
                    <xdr:col>4</xdr:col>
                    <xdr:colOff>584200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430-CC71-4C12-ADE5-A2A0790287F6}">
  <sheetPr codeName="Sheet5"/>
  <dimension ref="A1:CN223"/>
  <sheetViews>
    <sheetView zoomScale="80" zoomScaleNormal="80" workbookViewId="0">
      <selection activeCell="H9" sqref="H9"/>
    </sheetView>
  </sheetViews>
  <sheetFormatPr baseColWidth="10" defaultColWidth="8.83203125" defaultRowHeight="15" x14ac:dyDescent="0.2"/>
  <cols>
    <col min="1" max="1" width="9.1640625" customWidth="1"/>
    <col min="2" max="2" width="8.6640625" style="72" customWidth="1"/>
    <col min="3" max="3" width="9.5" customWidth="1"/>
    <col min="8" max="8" width="10.33203125" bestFit="1" customWidth="1"/>
    <col min="9" max="9" width="13.6640625" customWidth="1"/>
    <col min="10" max="10" width="10.5" bestFit="1" customWidth="1"/>
    <col min="11" max="11" width="11.83203125" customWidth="1"/>
    <col min="12" max="12" width="11.33203125" customWidth="1"/>
    <col min="13" max="13" width="10" customWidth="1"/>
    <col min="14" max="14" width="10.33203125" customWidth="1"/>
    <col min="15" max="15" width="13.83203125" customWidth="1"/>
    <col min="17" max="17" width="10" customWidth="1"/>
    <col min="19" max="19" width="11.1640625" customWidth="1"/>
    <col min="23" max="23" width="9.6640625" customWidth="1"/>
    <col min="24" max="24" width="10.5" style="82" customWidth="1"/>
    <col min="26" max="26" width="11.6640625" customWidth="1"/>
    <col min="27" max="27" width="13" style="82" bestFit="1" customWidth="1"/>
    <col min="29" max="29" width="9.83203125" customWidth="1"/>
    <col min="31" max="31" width="2.6640625" customWidth="1"/>
    <col min="33" max="33" width="9.1640625" style="123"/>
    <col min="35" max="35" width="9" customWidth="1"/>
    <col min="37" max="38" width="12.1640625" customWidth="1"/>
  </cols>
  <sheetData>
    <row r="1" spans="1:92" ht="19" x14ac:dyDescent="0.25">
      <c r="A1" s="26"/>
      <c r="B1" s="69"/>
      <c r="C1" s="28"/>
      <c r="D1" s="27" t="s">
        <v>51</v>
      </c>
      <c r="E1" s="27"/>
      <c r="F1" s="27"/>
      <c r="G1" s="27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132" t="s">
        <v>164</v>
      </c>
      <c r="U1" s="28"/>
      <c r="V1" s="28"/>
      <c r="W1" s="28"/>
      <c r="X1" s="79"/>
      <c r="Y1" s="28"/>
      <c r="Z1" s="28"/>
      <c r="AA1" s="79"/>
      <c r="AB1" s="28"/>
      <c r="AC1" s="28"/>
      <c r="AD1" s="28"/>
      <c r="AE1" s="28"/>
      <c r="AF1" s="28"/>
      <c r="AG1" s="27"/>
      <c r="AH1" s="31"/>
      <c r="AI1" s="31"/>
      <c r="AJ1" s="114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64"/>
      <c r="AZ1" s="64"/>
      <c r="BA1" s="64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141"/>
    </row>
    <row r="2" spans="1:92" ht="19" x14ac:dyDescent="0.25">
      <c r="A2" s="59" t="s">
        <v>63</v>
      </c>
      <c r="B2" s="60"/>
      <c r="C2" s="59"/>
      <c r="D2" s="46"/>
      <c r="E2" s="46"/>
      <c r="F2" s="46"/>
      <c r="G2" s="46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77"/>
      <c r="Y2" s="31"/>
      <c r="Z2" s="31"/>
      <c r="AA2" s="77"/>
      <c r="AB2" s="31"/>
      <c r="AC2" s="31"/>
      <c r="AD2" s="31"/>
      <c r="AE2" s="31"/>
      <c r="AF2" s="31"/>
      <c r="AG2" s="131" t="s">
        <v>157</v>
      </c>
      <c r="AH2" s="64"/>
      <c r="AI2" s="59" t="s">
        <v>63</v>
      </c>
      <c r="AJ2" s="60"/>
      <c r="AK2" s="64"/>
      <c r="AL2" s="64"/>
      <c r="AM2" s="64"/>
      <c r="AN2" s="64"/>
      <c r="AO2" s="64"/>
      <c r="AP2" s="64"/>
      <c r="AQ2" s="64"/>
      <c r="AR2" s="31"/>
      <c r="AS2" s="31"/>
      <c r="AT2" s="31"/>
      <c r="AU2" s="31"/>
      <c r="AV2" s="31"/>
      <c r="AW2" s="31"/>
      <c r="AX2" s="31"/>
      <c r="AY2" s="64"/>
      <c r="AZ2" s="64"/>
      <c r="BA2" s="64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</row>
    <row r="3" spans="1:92" ht="49" x14ac:dyDescent="0.25">
      <c r="A3" s="59" t="s">
        <v>64</v>
      </c>
      <c r="B3" s="60" t="s">
        <v>65</v>
      </c>
      <c r="C3" s="59"/>
      <c r="D3" s="59"/>
      <c r="E3" s="46"/>
      <c r="F3" s="46"/>
      <c r="G3" s="66"/>
      <c r="H3" s="31"/>
      <c r="I3" s="34" t="s">
        <v>53</v>
      </c>
      <c r="J3" s="31"/>
      <c r="K3" s="124" t="s">
        <v>54</v>
      </c>
      <c r="L3" s="28"/>
      <c r="M3" s="29"/>
      <c r="N3" s="26" t="s">
        <v>110</v>
      </c>
      <c r="O3" s="29"/>
      <c r="P3" s="31"/>
      <c r="Q3" s="31"/>
      <c r="R3" s="31"/>
      <c r="S3" s="31"/>
      <c r="T3" s="31"/>
      <c r="U3" s="31"/>
      <c r="V3" s="31"/>
      <c r="W3" s="26"/>
      <c r="X3" s="113" t="s">
        <v>69</v>
      </c>
      <c r="Y3" s="28" t="s">
        <v>115</v>
      </c>
      <c r="Z3" s="95" t="s">
        <v>121</v>
      </c>
      <c r="AA3" s="79" t="s">
        <v>104</v>
      </c>
      <c r="AB3" s="28" t="s">
        <v>106</v>
      </c>
      <c r="AC3" s="99" t="s">
        <v>117</v>
      </c>
      <c r="AD3" s="100" t="s">
        <v>118</v>
      </c>
      <c r="AE3" s="31"/>
      <c r="AF3" s="31"/>
      <c r="AG3" s="122" t="s">
        <v>147</v>
      </c>
      <c r="AH3" s="59"/>
      <c r="AI3" s="59" t="s">
        <v>64</v>
      </c>
      <c r="AJ3" s="60" t="s">
        <v>65</v>
      </c>
      <c r="AK3" s="59"/>
      <c r="AL3" s="59"/>
      <c r="AM3" s="59" t="s">
        <v>151</v>
      </c>
      <c r="AN3" s="59"/>
      <c r="AO3" s="59"/>
      <c r="AP3" s="59"/>
      <c r="AQ3" s="64"/>
      <c r="AR3" s="31"/>
      <c r="AS3" s="31"/>
      <c r="AT3" s="31"/>
      <c r="AU3" s="31"/>
      <c r="AV3" s="31"/>
      <c r="AW3" s="31"/>
      <c r="AX3" s="31"/>
      <c r="AY3" s="64"/>
      <c r="AZ3" s="64"/>
      <c r="BA3" s="64"/>
      <c r="BB3" s="59"/>
      <c r="BC3" s="133" t="s">
        <v>54</v>
      </c>
      <c r="BD3" s="59"/>
      <c r="BE3" s="59"/>
      <c r="BF3" s="59"/>
      <c r="BG3" s="59" t="s">
        <v>67</v>
      </c>
      <c r="BH3" s="59"/>
      <c r="BI3" s="59"/>
      <c r="BJ3" s="59"/>
      <c r="BK3" s="59" t="s">
        <v>68</v>
      </c>
      <c r="BL3" s="59"/>
      <c r="BM3" s="59"/>
      <c r="BN3" s="59"/>
      <c r="BO3" s="59" t="s">
        <v>69</v>
      </c>
      <c r="BP3" s="59"/>
      <c r="BQ3" s="59"/>
      <c r="BR3" s="59" t="s">
        <v>182</v>
      </c>
      <c r="BS3" s="59"/>
      <c r="BT3" s="59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</row>
    <row r="4" spans="1:92" ht="32" x14ac:dyDescent="0.2">
      <c r="A4" s="59">
        <v>1</v>
      </c>
      <c r="B4" s="43">
        <v>2</v>
      </c>
      <c r="C4" s="59"/>
      <c r="D4" s="46"/>
      <c r="E4" s="46"/>
      <c r="F4" s="46"/>
      <c r="G4" s="66" t="s">
        <v>87</v>
      </c>
      <c r="H4" s="80">
        <f ca="1">AVERAGE(H20:H215)</f>
        <v>107.41204551219077</v>
      </c>
      <c r="I4" s="96">
        <f>AVERAGE(I20:I215)</f>
        <v>111.90306122448979</v>
      </c>
      <c r="J4" s="31" t="s">
        <v>172</v>
      </c>
      <c r="K4" s="96">
        <f ca="1">AVERAGE(K20:K215)</f>
        <v>544.17231224993043</v>
      </c>
      <c r="L4" s="31" t="s">
        <v>66</v>
      </c>
      <c r="M4" s="32"/>
      <c r="N4" s="30"/>
      <c r="O4" s="32"/>
      <c r="P4" s="31"/>
      <c r="Q4" s="31"/>
      <c r="R4" s="31"/>
      <c r="S4" s="31"/>
      <c r="T4" s="31"/>
      <c r="U4" s="31"/>
      <c r="V4" s="31"/>
      <c r="W4" s="30" t="s">
        <v>79</v>
      </c>
      <c r="X4" s="87">
        <f>AVERAGE(X20:X119)</f>
        <v>570.96499430149152</v>
      </c>
      <c r="Y4" s="88">
        <f t="shared" ref="Y4:AD4" si="0">AVERAGE(Y20:Y119)</f>
        <v>45.81736928222449</v>
      </c>
      <c r="Z4" s="96">
        <f t="shared" si="0"/>
        <v>1031.0568718528905</v>
      </c>
      <c r="AA4" s="88">
        <f t="shared" si="0"/>
        <v>255.19135243290714</v>
      </c>
      <c r="AB4" s="88">
        <f t="shared" si="0"/>
        <v>985.2395025706661</v>
      </c>
      <c r="AC4" s="87">
        <f t="shared" si="0"/>
        <v>654.82691419296486</v>
      </c>
      <c r="AD4" s="92">
        <f t="shared" si="0"/>
        <v>2.4</v>
      </c>
      <c r="AE4" s="31"/>
      <c r="AF4" s="31"/>
      <c r="AG4" s="122"/>
      <c r="AH4" s="59"/>
      <c r="AI4" s="59">
        <v>1</v>
      </c>
      <c r="AJ4" s="43">
        <v>4</v>
      </c>
      <c r="AK4" s="59"/>
      <c r="AL4" s="59"/>
      <c r="AM4" s="121" t="s">
        <v>152</v>
      </c>
      <c r="AN4" s="59"/>
      <c r="AO4" s="121">
        <v>476</v>
      </c>
      <c r="AP4" s="59" t="s">
        <v>148</v>
      </c>
      <c r="AQ4" s="59"/>
      <c r="AR4" s="59"/>
      <c r="AS4" s="31"/>
      <c r="AT4" s="31"/>
      <c r="AU4" s="31"/>
      <c r="AV4" s="31"/>
      <c r="AW4" s="31"/>
      <c r="AX4" s="31"/>
      <c r="AY4" s="64"/>
      <c r="AZ4" s="64"/>
      <c r="BA4" s="64"/>
      <c r="BB4" s="134" t="s">
        <v>59</v>
      </c>
      <c r="BC4" s="105" t="s">
        <v>60</v>
      </c>
      <c r="BD4" s="105" t="s">
        <v>61</v>
      </c>
      <c r="BE4" s="47"/>
      <c r="BF4" s="135" t="s">
        <v>59</v>
      </c>
      <c r="BG4" s="105" t="s">
        <v>60</v>
      </c>
      <c r="BH4" s="105" t="s">
        <v>61</v>
      </c>
      <c r="BI4" s="105"/>
      <c r="BJ4" s="135" t="s">
        <v>59</v>
      </c>
      <c r="BK4" s="105" t="s">
        <v>60</v>
      </c>
      <c r="BL4" s="105" t="s">
        <v>61</v>
      </c>
      <c r="BM4" s="47"/>
      <c r="BN4" s="135" t="s">
        <v>59</v>
      </c>
      <c r="BO4" s="59" t="s">
        <v>60</v>
      </c>
      <c r="BP4" s="59" t="s">
        <v>61</v>
      </c>
      <c r="BQ4" s="47"/>
      <c r="BR4" s="135" t="s">
        <v>59</v>
      </c>
      <c r="BS4" s="105" t="s">
        <v>60</v>
      </c>
      <c r="BT4" s="105" t="s">
        <v>61</v>
      </c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</row>
    <row r="5" spans="1:92" x14ac:dyDescent="0.2">
      <c r="A5" s="59">
        <v>2</v>
      </c>
      <c r="B5" s="44">
        <v>3</v>
      </c>
      <c r="C5" s="59"/>
      <c r="D5" s="46"/>
      <c r="E5" s="46"/>
      <c r="F5" s="46"/>
      <c r="G5" s="66" t="s">
        <v>88</v>
      </c>
      <c r="H5" s="80">
        <f ca="1">AVERAGEIF(H20:H215,"&gt;0")</f>
        <v>158.29143549164957</v>
      </c>
      <c r="I5" s="97">
        <f>_xlfn.MINIFS(I20:I215,I20:I215,"&gt;0")</f>
        <v>23</v>
      </c>
      <c r="J5" s="31" t="s">
        <v>173</v>
      </c>
      <c r="K5" s="97">
        <f ca="1">MIN(K20:K215)</f>
        <v>47</v>
      </c>
      <c r="L5" s="31" t="s">
        <v>80</v>
      </c>
      <c r="M5" s="32"/>
      <c r="N5" s="30"/>
      <c r="O5" s="32"/>
      <c r="P5" s="31"/>
      <c r="Q5" s="31"/>
      <c r="R5" s="31"/>
      <c r="S5" s="31"/>
      <c r="T5" s="31"/>
      <c r="U5" s="31"/>
      <c r="V5" s="31"/>
      <c r="W5" s="30" t="s">
        <v>119</v>
      </c>
      <c r="X5" s="89">
        <f>MIN(X20:X119)</f>
        <v>356.78819744187808</v>
      </c>
      <c r="Y5" s="80">
        <f t="shared" ref="Y5:AD5" si="1">MIN(Y20:Y119)</f>
        <v>35.273800969110937</v>
      </c>
      <c r="Z5" s="97">
        <f t="shared" si="1"/>
        <v>559.39685948575425</v>
      </c>
      <c r="AA5" s="80">
        <f t="shared" si="1"/>
        <v>107.47384041856647</v>
      </c>
      <c r="AB5" s="80">
        <f t="shared" si="1"/>
        <v>524.12305851664337</v>
      </c>
      <c r="AC5" s="89">
        <f t="shared" si="1"/>
        <v>35.273800969110937</v>
      </c>
      <c r="AD5" s="93">
        <f t="shared" si="1"/>
        <v>1</v>
      </c>
      <c r="AE5" s="31"/>
      <c r="AF5" s="31"/>
      <c r="AG5" s="122"/>
      <c r="AH5" s="59"/>
      <c r="AI5" s="59">
        <v>2</v>
      </c>
      <c r="AJ5" s="44">
        <v>3</v>
      </c>
      <c r="AK5" s="59"/>
      <c r="AL5" s="59"/>
      <c r="AM5" s="59"/>
      <c r="AN5" s="59"/>
      <c r="AO5" s="59"/>
      <c r="AP5" s="59"/>
      <c r="AQ5" s="59"/>
      <c r="AR5" s="59"/>
      <c r="AS5" s="31"/>
      <c r="AT5" s="31"/>
      <c r="AU5" s="31"/>
      <c r="AV5" s="31"/>
      <c r="AW5" s="31"/>
      <c r="AX5" s="31"/>
      <c r="AY5" s="64"/>
      <c r="AZ5" s="64"/>
      <c r="BA5" s="64"/>
      <c r="BB5" s="137" t="str">
        <f>"&lt;="&amp;BC5</f>
        <v>&lt;=100</v>
      </c>
      <c r="BC5" s="50">
        <v>100</v>
      </c>
      <c r="BD5" s="54">
        <f t="array" aca="1" ref="BD5:BD14" ca="1">FREQUENCY(K20:K215,BC5:BC14)</f>
        <v>3</v>
      </c>
      <c r="BE5" s="59"/>
      <c r="BF5" s="138">
        <f>BG5</f>
        <v>0</v>
      </c>
      <c r="BG5" s="50">
        <v>0</v>
      </c>
      <c r="BH5" s="54">
        <f t="array" ref="BH5:BH13">FREQUENCY(I20:I215,BG5:BG13)</f>
        <v>30</v>
      </c>
      <c r="BI5" s="59"/>
      <c r="BJ5" s="137">
        <f>BK5</f>
        <v>0</v>
      </c>
      <c r="BK5" s="50">
        <v>0</v>
      </c>
      <c r="BL5" s="54">
        <f t="array" aca="1" ref="BL5:BL14" ca="1">FREQUENCY(H20:H215,BK5:BK14)</f>
        <v>63</v>
      </c>
      <c r="BM5" s="59"/>
      <c r="BN5" s="137" t="str">
        <f>"&lt;="&amp;BO5</f>
        <v>&lt;=440</v>
      </c>
      <c r="BO5" s="50">
        <v>440</v>
      </c>
      <c r="BP5" s="54">
        <f t="array" ref="BP5:BP12">FREQUENCY(X20:X1019,BO5:BO12)</f>
        <v>15</v>
      </c>
      <c r="BQ5" s="59"/>
      <c r="BR5" s="137" t="str">
        <f>"&lt;="&amp;BS5</f>
        <v>&lt;=200</v>
      </c>
      <c r="BS5" s="50">
        <v>200</v>
      </c>
      <c r="BT5" s="54">
        <f t="array" ref="BT5:BT12">FREQUENCY(AC20:AC119,BS5:BS12)</f>
        <v>3</v>
      </c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</row>
    <row r="6" spans="1:92" x14ac:dyDescent="0.2">
      <c r="A6" s="59">
        <v>3</v>
      </c>
      <c r="B6" s="44">
        <v>4</v>
      </c>
      <c r="C6" s="59"/>
      <c r="D6" s="46"/>
      <c r="E6" s="46"/>
      <c r="F6" s="46"/>
      <c r="G6" s="66" t="s">
        <v>89</v>
      </c>
      <c r="H6" s="80">
        <f ca="1">AVERAGEIF(L20:L215,1,H20:H215)</f>
        <v>111.38293901986476</v>
      </c>
      <c r="I6" s="97">
        <f>MAX(I20:I215)</f>
        <v>211</v>
      </c>
      <c r="J6" s="31" t="s">
        <v>174</v>
      </c>
      <c r="K6" s="97">
        <f ca="1">MAX(K20:K215)</f>
        <v>1052.9659430710917</v>
      </c>
      <c r="L6" s="31" t="s">
        <v>103</v>
      </c>
      <c r="M6" s="32" t="s">
        <v>109</v>
      </c>
      <c r="N6" s="51">
        <f>User!N16</f>
        <v>500</v>
      </c>
      <c r="O6" s="32" t="s">
        <v>112</v>
      </c>
      <c r="P6" s="31"/>
      <c r="Q6" s="31"/>
      <c r="R6" s="31"/>
      <c r="S6" s="31"/>
      <c r="T6" s="31"/>
      <c r="U6" s="31"/>
      <c r="V6" s="31"/>
      <c r="W6" s="30" t="s">
        <v>120</v>
      </c>
      <c r="X6" s="89">
        <f>MAX(X20:X119)</f>
        <v>891.29074825393764</v>
      </c>
      <c r="Y6" s="80">
        <f t="shared" ref="Y6:AD6" si="2">MAX(Y20:Y119)</f>
        <v>47</v>
      </c>
      <c r="Z6" s="97">
        <f t="shared" si="2"/>
        <v>1496.2262021080121</v>
      </c>
      <c r="AA6" s="80">
        <f t="shared" si="2"/>
        <v>414.72464114345075</v>
      </c>
      <c r="AB6" s="80">
        <f t="shared" si="2"/>
        <v>1449.2262021080121</v>
      </c>
      <c r="AC6" s="89">
        <f t="shared" si="2"/>
        <v>1278.3722417871925</v>
      </c>
      <c r="AD6" s="93">
        <f t="shared" si="2"/>
        <v>9</v>
      </c>
      <c r="AE6" s="31"/>
      <c r="AF6" s="31"/>
      <c r="AG6" s="122"/>
      <c r="AH6" s="59"/>
      <c r="AI6" s="59">
        <v>3</v>
      </c>
      <c r="AJ6" s="44">
        <v>4</v>
      </c>
      <c r="AK6" s="59"/>
      <c r="AL6" s="59"/>
      <c r="AM6" s="121" t="s">
        <v>154</v>
      </c>
      <c r="AN6" s="59"/>
      <c r="AO6" s="121">
        <v>0</v>
      </c>
      <c r="AP6" s="59" t="s">
        <v>149</v>
      </c>
      <c r="AQ6" s="59"/>
      <c r="AR6" s="59"/>
      <c r="AS6" s="31"/>
      <c r="AT6" s="31"/>
      <c r="AU6" s="31"/>
      <c r="AV6" s="31"/>
      <c r="AW6" s="31"/>
      <c r="AX6" s="31"/>
      <c r="AY6" s="64"/>
      <c r="AZ6" s="64"/>
      <c r="BA6" s="64"/>
      <c r="BB6" s="137" t="str">
        <f t="shared" ref="BB6:BB13" si="3">BC5+1&amp;" - "&amp;BC6</f>
        <v>101 - 200</v>
      </c>
      <c r="BC6" s="51">
        <v>200</v>
      </c>
      <c r="BD6" s="56">
        <f ca="1"/>
        <v>13</v>
      </c>
      <c r="BE6" s="59"/>
      <c r="BF6" s="139" t="str">
        <f>BG5+1&amp;" - "&amp;BG6</f>
        <v>1 - 25</v>
      </c>
      <c r="BG6" s="51">
        <v>25</v>
      </c>
      <c r="BH6" s="56">
        <v>1</v>
      </c>
      <c r="BI6" s="59"/>
      <c r="BJ6" s="137" t="str">
        <f>BK5+1&amp;" - "&amp;BK6</f>
        <v>1 - 20</v>
      </c>
      <c r="BK6" s="51">
        <v>20</v>
      </c>
      <c r="BL6" s="56">
        <f ca="1"/>
        <v>0</v>
      </c>
      <c r="BM6" s="59"/>
      <c r="BN6" s="137" t="str">
        <f t="shared" ref="BN6:BN12" si="4">BO5+1&amp;" - "&amp;BO6</f>
        <v>441 - 460</v>
      </c>
      <c r="BO6" s="51">
        <v>460</v>
      </c>
      <c r="BP6" s="56">
        <v>8</v>
      </c>
      <c r="BQ6" s="59"/>
      <c r="BR6" s="137" t="str">
        <f t="shared" ref="BR6:BR12" si="5">BS5+1&amp;" - "&amp;BS6</f>
        <v>201 - 250</v>
      </c>
      <c r="BS6" s="51">
        <v>250</v>
      </c>
      <c r="BT6" s="56">
        <v>4</v>
      </c>
      <c r="BU6" s="59"/>
      <c r="BV6" s="59"/>
      <c r="BW6" s="59"/>
      <c r="BX6" s="59"/>
      <c r="BY6" s="59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</row>
    <row r="7" spans="1:92" x14ac:dyDescent="0.2">
      <c r="A7" s="59">
        <v>4</v>
      </c>
      <c r="B7" s="44">
        <v>4</v>
      </c>
      <c r="C7" s="59"/>
      <c r="D7" s="46"/>
      <c r="E7" s="46"/>
      <c r="F7" s="46"/>
      <c r="G7" s="66" t="s">
        <v>146</v>
      </c>
      <c r="H7" s="80">
        <f ca="1">AVERAGEIFS(H20:H215,H20:H215,"&gt;0",L20:L215,0)</f>
        <v>159.37393925638301</v>
      </c>
      <c r="I7" s="97">
        <f>_xlfn.STDEV.P(I20:I215)</f>
        <v>58.736924648465525</v>
      </c>
      <c r="J7" s="31" t="s">
        <v>175</v>
      </c>
      <c r="K7" s="97">
        <f ca="1">_xlfn.STDEV.P(K20:K215)</f>
        <v>289.42746756893621</v>
      </c>
      <c r="L7" s="31" t="s">
        <v>104</v>
      </c>
      <c r="M7" s="32"/>
      <c r="N7" s="30"/>
      <c r="O7" s="32"/>
      <c r="P7" s="31"/>
      <c r="Q7" s="31"/>
      <c r="R7" s="31"/>
      <c r="S7" s="31"/>
      <c r="T7" s="31"/>
      <c r="U7" s="31"/>
      <c r="V7" s="31"/>
      <c r="W7" s="30" t="s">
        <v>83</v>
      </c>
      <c r="X7" s="89">
        <f>_xlfn.STDEV.P(X20:X119)</f>
        <v>117.46614213307787</v>
      </c>
      <c r="Y7" s="80">
        <f t="shared" ref="Y7:AD7" si="6">_xlfn.STDEV.P(Y20:Y119)</f>
        <v>2.8867088133609009</v>
      </c>
      <c r="Z7" s="97">
        <f t="shared" si="6"/>
        <v>223.85719805217994</v>
      </c>
      <c r="AA7" s="80">
        <f t="shared" si="6"/>
        <v>73.817561221452877</v>
      </c>
      <c r="AB7" s="80">
        <f t="shared" si="6"/>
        <v>223.52032357337228</v>
      </c>
      <c r="AC7" s="89">
        <f t="shared" si="6"/>
        <v>251.58221828875631</v>
      </c>
      <c r="AD7" s="93">
        <f t="shared" si="6"/>
        <v>2.0396078054371141</v>
      </c>
      <c r="AE7" s="31"/>
      <c r="AF7" s="31"/>
      <c r="AG7" s="122"/>
      <c r="AH7" s="59"/>
      <c r="AI7" s="59">
        <v>4</v>
      </c>
      <c r="AJ7" s="44">
        <v>4</v>
      </c>
      <c r="AK7" s="59"/>
      <c r="AL7" s="59"/>
      <c r="AM7" s="59"/>
      <c r="AN7" s="59"/>
      <c r="AO7" s="59"/>
      <c r="AP7" s="59"/>
      <c r="AQ7" s="59"/>
      <c r="AR7" s="59"/>
      <c r="AS7" s="31"/>
      <c r="AT7" s="31"/>
      <c r="AU7" s="31"/>
      <c r="AV7" s="31"/>
      <c r="AW7" s="31"/>
      <c r="AX7" s="31"/>
      <c r="AY7" s="64"/>
      <c r="AZ7" s="64"/>
      <c r="BA7" s="64"/>
      <c r="BB7" s="137" t="str">
        <f t="shared" si="3"/>
        <v>201 - 300</v>
      </c>
      <c r="BC7" s="51">
        <v>300</v>
      </c>
      <c r="BD7" s="56">
        <f ca="1"/>
        <v>27</v>
      </c>
      <c r="BE7" s="59"/>
      <c r="BF7" s="139" t="str">
        <f t="shared" ref="BF7:BF12" si="7">BG6+1&amp;" - "&amp;BG7</f>
        <v>26 - 50</v>
      </c>
      <c r="BG7" s="51">
        <v>50</v>
      </c>
      <c r="BH7" s="56">
        <v>6</v>
      </c>
      <c r="BI7" s="59"/>
      <c r="BJ7" s="137" t="str">
        <f>" "&amp;BK6+1&amp;" - "&amp;BK7</f>
        <v xml:space="preserve"> 21 - 40</v>
      </c>
      <c r="BK7" s="51">
        <v>40</v>
      </c>
      <c r="BL7" s="56">
        <f ca="1"/>
        <v>0</v>
      </c>
      <c r="BM7" s="59"/>
      <c r="BN7" s="137" t="str">
        <f t="shared" si="4"/>
        <v>461 - 480</v>
      </c>
      <c r="BO7" s="51">
        <v>480</v>
      </c>
      <c r="BP7" s="56">
        <v>6</v>
      </c>
      <c r="BQ7" s="59"/>
      <c r="BR7" s="137" t="str">
        <f t="shared" si="5"/>
        <v>251 - 300</v>
      </c>
      <c r="BS7" s="51">
        <v>300</v>
      </c>
      <c r="BT7" s="56">
        <v>6</v>
      </c>
      <c r="BU7" s="59"/>
      <c r="BV7" s="59"/>
      <c r="BW7" s="59"/>
      <c r="BX7" s="59"/>
      <c r="BY7" s="59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</row>
    <row r="8" spans="1:92" x14ac:dyDescent="0.2">
      <c r="A8" s="59">
        <v>5</v>
      </c>
      <c r="B8" s="44">
        <v>5</v>
      </c>
      <c r="C8" s="59"/>
      <c r="D8" s="46"/>
      <c r="E8" s="46"/>
      <c r="F8" s="31"/>
      <c r="G8" s="31" t="s">
        <v>104</v>
      </c>
      <c r="H8" s="80">
        <f ca="1">_xlfn.STDEV.P(H20:H215)</f>
        <v>76.098948092622834</v>
      </c>
      <c r="I8" s="97">
        <f>I6-I5</f>
        <v>188</v>
      </c>
      <c r="J8" s="31" t="s">
        <v>176</v>
      </c>
      <c r="K8" s="97">
        <f ca="1">K6-K5</f>
        <v>1005.9659430710917</v>
      </c>
      <c r="L8" s="31" t="s">
        <v>106</v>
      </c>
      <c r="M8" s="32"/>
      <c r="N8" s="30"/>
      <c r="O8" s="32"/>
      <c r="P8" s="31"/>
      <c r="Q8" s="31"/>
      <c r="R8" s="31"/>
      <c r="S8" s="31"/>
      <c r="T8" s="31"/>
      <c r="U8" s="31"/>
      <c r="V8" s="31"/>
      <c r="W8" s="41" t="s">
        <v>84</v>
      </c>
      <c r="X8" s="90">
        <f>X6-X5</f>
        <v>534.50255081205955</v>
      </c>
      <c r="Y8" s="91">
        <f t="shared" ref="Y8:AD8" si="8">Y6-Y5</f>
        <v>11.726199030889063</v>
      </c>
      <c r="Z8" s="98">
        <f t="shared" si="8"/>
        <v>936.82934262225785</v>
      </c>
      <c r="AA8" s="91">
        <f t="shared" si="8"/>
        <v>307.2508007248843</v>
      </c>
      <c r="AB8" s="91">
        <f t="shared" si="8"/>
        <v>925.10314359136873</v>
      </c>
      <c r="AC8" s="90">
        <f t="shared" si="8"/>
        <v>1243.0984408180816</v>
      </c>
      <c r="AD8" s="94">
        <f t="shared" si="8"/>
        <v>8</v>
      </c>
      <c r="AE8" s="31"/>
      <c r="AF8" s="31"/>
      <c r="AG8" s="122"/>
      <c r="AH8" s="59"/>
      <c r="AI8" s="59">
        <v>5</v>
      </c>
      <c r="AJ8" s="44">
        <v>5</v>
      </c>
      <c r="AK8" s="59"/>
      <c r="AL8" s="59"/>
      <c r="AM8" s="121" t="s">
        <v>153</v>
      </c>
      <c r="AN8" s="59"/>
      <c r="AO8" s="121">
        <v>21</v>
      </c>
      <c r="AP8" s="59" t="s">
        <v>150</v>
      </c>
      <c r="AQ8" s="59"/>
      <c r="AR8" s="59"/>
      <c r="AS8" s="31"/>
      <c r="AT8" s="31"/>
      <c r="AU8" s="31"/>
      <c r="AV8" s="31"/>
      <c r="AW8" s="31"/>
      <c r="AX8" s="31"/>
      <c r="AY8" s="64"/>
      <c r="AZ8" s="64"/>
      <c r="BA8" s="64"/>
      <c r="BB8" s="137" t="str">
        <f t="shared" si="3"/>
        <v>301 - 400</v>
      </c>
      <c r="BC8" s="51">
        <v>400</v>
      </c>
      <c r="BD8" s="56">
        <f ca="1"/>
        <v>39</v>
      </c>
      <c r="BE8" s="59"/>
      <c r="BF8" s="139" t="str">
        <f t="shared" si="7"/>
        <v>51 - 75</v>
      </c>
      <c r="BG8" s="51">
        <v>75</v>
      </c>
      <c r="BH8" s="56">
        <v>6</v>
      </c>
      <c r="BI8" s="59"/>
      <c r="BJ8" s="137" t="str">
        <f t="shared" ref="BJ8:BJ9" si="9">" "&amp;BK7+1&amp;" - "&amp;BK8</f>
        <v xml:space="preserve"> 41 - 60</v>
      </c>
      <c r="BK8" s="51">
        <v>60</v>
      </c>
      <c r="BL8" s="56">
        <f ca="1"/>
        <v>1</v>
      </c>
      <c r="BM8" s="59"/>
      <c r="BN8" s="137" t="str">
        <f t="shared" si="4"/>
        <v>481 - 500</v>
      </c>
      <c r="BO8" s="51">
        <v>500</v>
      </c>
      <c r="BP8" s="56">
        <v>2</v>
      </c>
      <c r="BQ8" s="59"/>
      <c r="BR8" s="137" t="str">
        <f t="shared" si="5"/>
        <v>301 - 350</v>
      </c>
      <c r="BS8" s="51">
        <v>350</v>
      </c>
      <c r="BT8" s="56">
        <v>2</v>
      </c>
      <c r="BU8" s="59"/>
      <c r="BV8" s="59"/>
      <c r="BW8" s="59"/>
      <c r="BX8" s="59"/>
      <c r="BY8" s="59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</row>
    <row r="9" spans="1:92" x14ac:dyDescent="0.2">
      <c r="A9" s="59">
        <v>6</v>
      </c>
      <c r="B9" s="44">
        <v>6</v>
      </c>
      <c r="C9" s="59"/>
      <c r="D9" s="46"/>
      <c r="E9" s="46"/>
      <c r="F9" s="46"/>
      <c r="G9" s="46"/>
      <c r="H9" s="31"/>
      <c r="I9" s="98">
        <f>I215</f>
        <v>0</v>
      </c>
      <c r="J9" s="31" t="s">
        <v>177</v>
      </c>
      <c r="K9" s="97">
        <f ca="1">K215</f>
        <v>880.23907961060763</v>
      </c>
      <c r="L9" s="31" t="s">
        <v>105</v>
      </c>
      <c r="M9" s="32" t="s">
        <v>109</v>
      </c>
      <c r="N9" s="51">
        <f>User!N18</f>
        <v>25</v>
      </c>
      <c r="O9" s="32" t="s">
        <v>105</v>
      </c>
      <c r="P9" s="31"/>
      <c r="Q9" s="31"/>
      <c r="R9" s="31"/>
      <c r="S9" s="31"/>
      <c r="T9" s="31"/>
      <c r="U9" s="31"/>
      <c r="V9" s="31"/>
      <c r="W9" s="77" t="s">
        <v>160</v>
      </c>
      <c r="X9" s="77"/>
      <c r="Y9" s="77"/>
      <c r="Z9" s="77">
        <f>COUNTIF(Z20:Z1019,"&gt;500")</f>
        <v>100</v>
      </c>
      <c r="AA9" s="77"/>
      <c r="AB9" s="77"/>
      <c r="AC9" s="77"/>
      <c r="AD9" s="77"/>
      <c r="AE9" s="77"/>
      <c r="AF9" s="31"/>
      <c r="AG9" s="122"/>
      <c r="AH9" s="59"/>
      <c r="AI9" s="59">
        <v>6</v>
      </c>
      <c r="AJ9" s="44">
        <v>5</v>
      </c>
      <c r="AK9" s="59"/>
      <c r="AL9" s="59"/>
      <c r="AM9" s="59"/>
      <c r="AN9" s="59"/>
      <c r="AO9" s="59"/>
      <c r="AP9" s="59"/>
      <c r="AQ9" s="64"/>
      <c r="AR9" s="31"/>
      <c r="AS9" s="31"/>
      <c r="AT9" s="31"/>
      <c r="AU9" s="31"/>
      <c r="AV9" s="31"/>
      <c r="AW9" s="31"/>
      <c r="AX9" s="31"/>
      <c r="AY9" s="64"/>
      <c r="AZ9" s="64"/>
      <c r="BA9" s="64"/>
      <c r="BB9" s="137" t="str">
        <f t="shared" si="3"/>
        <v>401 - 500</v>
      </c>
      <c r="BC9" s="51">
        <v>500</v>
      </c>
      <c r="BD9" s="56">
        <f ca="1"/>
        <v>24</v>
      </c>
      <c r="BE9" s="59"/>
      <c r="BF9" s="139" t="str">
        <f t="shared" si="7"/>
        <v>76 - 100</v>
      </c>
      <c r="BG9" s="51">
        <v>100</v>
      </c>
      <c r="BH9" s="56">
        <v>24</v>
      </c>
      <c r="BI9" s="59"/>
      <c r="BJ9" s="137" t="str">
        <f t="shared" si="9"/>
        <v xml:space="preserve"> 61 - 80</v>
      </c>
      <c r="BK9" s="51">
        <v>80</v>
      </c>
      <c r="BL9" s="56">
        <f ca="1"/>
        <v>0</v>
      </c>
      <c r="BM9" s="59"/>
      <c r="BN9" s="137" t="str">
        <f t="shared" si="4"/>
        <v>501 - 520</v>
      </c>
      <c r="BO9" s="51">
        <v>520</v>
      </c>
      <c r="BP9" s="56">
        <v>3</v>
      </c>
      <c r="BQ9" s="59"/>
      <c r="BR9" s="137" t="str">
        <f t="shared" si="5"/>
        <v>351 - 400</v>
      </c>
      <c r="BS9" s="51">
        <v>400</v>
      </c>
      <c r="BT9" s="56">
        <v>2</v>
      </c>
      <c r="BU9" s="59"/>
      <c r="BV9" s="59"/>
      <c r="BW9" s="59"/>
      <c r="BX9" s="59"/>
      <c r="BY9" s="59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</row>
    <row r="10" spans="1:92" x14ac:dyDescent="0.2">
      <c r="A10" s="59">
        <v>7</v>
      </c>
      <c r="B10" s="44">
        <v>5</v>
      </c>
      <c r="C10" s="59"/>
      <c r="D10" s="46"/>
      <c r="E10" s="31"/>
      <c r="F10" s="31"/>
      <c r="G10" s="31"/>
      <c r="H10" s="31"/>
      <c r="I10" s="31"/>
      <c r="J10" s="31"/>
      <c r="K10" s="98">
        <f ca="1">SUM(L21:L215)</f>
        <v>3</v>
      </c>
      <c r="L10" s="65" t="s">
        <v>86</v>
      </c>
      <c r="M10" s="32" t="s">
        <v>109</v>
      </c>
      <c r="N10" s="51">
        <f>User!N20</f>
        <v>20</v>
      </c>
      <c r="O10" s="32" t="s">
        <v>111</v>
      </c>
      <c r="P10" s="31"/>
      <c r="Q10" s="31"/>
      <c r="R10" s="31"/>
      <c r="S10" s="31"/>
      <c r="T10" s="31"/>
      <c r="U10" s="31"/>
      <c r="V10" s="31"/>
      <c r="W10" s="125" t="s">
        <v>161</v>
      </c>
      <c r="X10" s="79"/>
      <c r="Y10" s="79"/>
      <c r="Z10" s="79"/>
      <c r="AA10" s="92"/>
      <c r="AB10" s="77"/>
      <c r="AC10" s="77"/>
      <c r="AD10" s="77"/>
      <c r="AE10" s="77"/>
      <c r="AF10" s="31"/>
      <c r="AG10" s="122"/>
      <c r="AH10" s="59"/>
      <c r="AI10" s="59">
        <v>7</v>
      </c>
      <c r="AJ10" s="44">
        <v>6</v>
      </c>
      <c r="AK10" s="59"/>
      <c r="AL10" s="59"/>
      <c r="AM10" s="59"/>
      <c r="AN10" s="59"/>
      <c r="AO10" s="59"/>
      <c r="AP10" s="59"/>
      <c r="AQ10" s="64"/>
      <c r="AR10" s="31"/>
      <c r="AS10" s="31"/>
      <c r="AT10" s="31"/>
      <c r="AU10" s="31"/>
      <c r="AV10" s="31"/>
      <c r="AW10" s="31"/>
      <c r="AX10" s="31"/>
      <c r="AY10" s="64"/>
      <c r="AZ10" s="64"/>
      <c r="BA10" s="64"/>
      <c r="BB10" s="137" t="str">
        <f t="shared" si="3"/>
        <v>501 - 600</v>
      </c>
      <c r="BC10" s="51">
        <v>600</v>
      </c>
      <c r="BD10" s="56">
        <f ca="1"/>
        <v>17</v>
      </c>
      <c r="BE10" s="59"/>
      <c r="BF10" s="139" t="str">
        <f t="shared" si="7"/>
        <v>101 - 125</v>
      </c>
      <c r="BG10" s="51">
        <v>125</v>
      </c>
      <c r="BH10" s="56">
        <v>20</v>
      </c>
      <c r="BI10" s="59"/>
      <c r="BJ10" s="137" t="str">
        <f t="shared" ref="BJ10:BJ13" si="10">BK9+1&amp;" - "&amp;BK10</f>
        <v>81 - 100</v>
      </c>
      <c r="BK10" s="51">
        <v>100</v>
      </c>
      <c r="BL10" s="56">
        <f ca="1"/>
        <v>0</v>
      </c>
      <c r="BM10" s="59"/>
      <c r="BN10" s="137" t="str">
        <f t="shared" si="4"/>
        <v>521 - 540</v>
      </c>
      <c r="BO10" s="51">
        <v>540</v>
      </c>
      <c r="BP10" s="56">
        <v>5</v>
      </c>
      <c r="BQ10" s="59"/>
      <c r="BR10" s="137" t="str">
        <f t="shared" si="5"/>
        <v>401 - 450</v>
      </c>
      <c r="BS10" s="51">
        <v>450</v>
      </c>
      <c r="BT10" s="56">
        <v>4</v>
      </c>
      <c r="BU10" s="59"/>
      <c r="BV10" s="59"/>
      <c r="BW10" s="59"/>
      <c r="BX10" s="59"/>
      <c r="BY10" s="59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</row>
    <row r="11" spans="1:92" x14ac:dyDescent="0.2">
      <c r="A11" s="59">
        <v>8</v>
      </c>
      <c r="B11" s="44">
        <v>5</v>
      </c>
      <c r="C11" s="59"/>
      <c r="D11" s="46"/>
      <c r="E11" s="31"/>
      <c r="F11" s="31"/>
      <c r="G11" s="31"/>
      <c r="H11" s="31"/>
      <c r="I11" s="31"/>
      <c r="J11" s="31"/>
      <c r="K11" s="41"/>
      <c r="L11" s="33"/>
      <c r="M11" s="42"/>
      <c r="N11" s="41"/>
      <c r="O11" s="42"/>
      <c r="P11" s="31"/>
      <c r="Q11" s="31"/>
      <c r="R11" s="31"/>
      <c r="S11" s="31"/>
      <c r="T11" s="31"/>
      <c r="U11" s="31"/>
      <c r="V11" s="31"/>
      <c r="W11" s="85" t="s">
        <v>162</v>
      </c>
      <c r="X11" s="77"/>
      <c r="Y11" s="77"/>
      <c r="Z11" s="77"/>
      <c r="AA11" s="126">
        <f>Z9/100</f>
        <v>1</v>
      </c>
      <c r="AB11" s="77"/>
      <c r="AC11" s="77"/>
      <c r="AD11" s="77"/>
      <c r="AE11" s="77"/>
      <c r="AF11" s="31"/>
      <c r="AG11" s="122"/>
      <c r="AH11" s="59"/>
      <c r="AI11" s="59">
        <v>8</v>
      </c>
      <c r="AJ11" s="44">
        <v>5</v>
      </c>
      <c r="AK11" s="59"/>
      <c r="AL11" s="59"/>
      <c r="AM11" s="59"/>
      <c r="AN11" s="59"/>
      <c r="AO11" s="59"/>
      <c r="AP11" s="59"/>
      <c r="AQ11" s="64"/>
      <c r="AR11" s="31"/>
      <c r="AS11" s="31"/>
      <c r="AT11" s="31"/>
      <c r="AU11" s="31"/>
      <c r="AV11" s="31"/>
      <c r="AW11" s="31"/>
      <c r="AX11" s="31"/>
      <c r="AY11" s="64"/>
      <c r="AZ11" s="59"/>
      <c r="BA11" s="59"/>
      <c r="BB11" s="137" t="str">
        <f t="shared" si="3"/>
        <v>601 - 700</v>
      </c>
      <c r="BC11" s="51">
        <v>700</v>
      </c>
      <c r="BD11" s="56">
        <f ca="1"/>
        <v>15</v>
      </c>
      <c r="BE11" s="59"/>
      <c r="BF11" s="139" t="str">
        <f t="shared" si="7"/>
        <v>126 - 150</v>
      </c>
      <c r="BG11" s="51">
        <v>150</v>
      </c>
      <c r="BH11" s="56">
        <v>59</v>
      </c>
      <c r="BI11" s="59"/>
      <c r="BJ11" s="137" t="str">
        <f t="shared" si="10"/>
        <v>101 - 120</v>
      </c>
      <c r="BK11" s="51">
        <v>120</v>
      </c>
      <c r="BL11" s="56">
        <f ca="1"/>
        <v>6</v>
      </c>
      <c r="BM11" s="59"/>
      <c r="BN11" s="137" t="str">
        <f t="shared" si="4"/>
        <v>541 - 560</v>
      </c>
      <c r="BO11" s="51">
        <v>560</v>
      </c>
      <c r="BP11" s="56">
        <v>9</v>
      </c>
      <c r="BQ11" s="59"/>
      <c r="BR11" s="137" t="str">
        <f t="shared" si="5"/>
        <v>451 - 500</v>
      </c>
      <c r="BS11" s="51">
        <v>500</v>
      </c>
      <c r="BT11" s="56">
        <v>1</v>
      </c>
      <c r="BU11" s="59"/>
      <c r="BV11" s="59"/>
      <c r="BW11" s="59"/>
      <c r="BX11" s="59"/>
      <c r="BY11" s="59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</row>
    <row r="12" spans="1:92" x14ac:dyDescent="0.2">
      <c r="A12" s="59">
        <v>9</v>
      </c>
      <c r="B12" s="44">
        <v>6</v>
      </c>
      <c r="C12" s="59"/>
      <c r="D12" s="46"/>
      <c r="E12" s="74" t="b">
        <v>1</v>
      </c>
      <c r="F12" s="31"/>
      <c r="G12" s="31" t="s">
        <v>101</v>
      </c>
      <c r="H12" s="45">
        <v>170</v>
      </c>
      <c r="I12" s="74">
        <v>2</v>
      </c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86" t="s">
        <v>163</v>
      </c>
      <c r="X12" s="83"/>
      <c r="Y12" s="83"/>
      <c r="Z12" s="83"/>
      <c r="AA12" s="94"/>
      <c r="AB12" s="77"/>
      <c r="AC12" s="77"/>
      <c r="AD12" s="77"/>
      <c r="AE12" s="77"/>
      <c r="AF12" s="31"/>
      <c r="AG12" s="122"/>
      <c r="AH12" s="59"/>
      <c r="AI12" s="59">
        <v>9</v>
      </c>
      <c r="AJ12" s="44">
        <v>6</v>
      </c>
      <c r="AK12" s="59"/>
      <c r="AL12" s="59"/>
      <c r="AM12" s="59"/>
      <c r="AN12" s="59"/>
      <c r="AO12" s="59"/>
      <c r="AP12" s="59"/>
      <c r="AQ12" s="64"/>
      <c r="AR12" s="31"/>
      <c r="AS12" s="31"/>
      <c r="AT12" s="31"/>
      <c r="AU12" s="31"/>
      <c r="AV12" s="31"/>
      <c r="AW12" s="31"/>
      <c r="AX12" s="31"/>
      <c r="AY12" s="64"/>
      <c r="AZ12" s="59"/>
      <c r="BA12" s="59"/>
      <c r="BB12" s="137" t="str">
        <f t="shared" si="3"/>
        <v>701 - 800</v>
      </c>
      <c r="BC12" s="51">
        <v>800</v>
      </c>
      <c r="BD12" s="56">
        <f ca="1"/>
        <v>4</v>
      </c>
      <c r="BE12" s="59"/>
      <c r="BF12" s="139" t="str">
        <f t="shared" si="7"/>
        <v>151 - 175</v>
      </c>
      <c r="BG12" s="51">
        <v>175</v>
      </c>
      <c r="BH12" s="56">
        <v>33</v>
      </c>
      <c r="BI12" s="59"/>
      <c r="BJ12" s="137" t="str">
        <f t="shared" si="10"/>
        <v>121 - 140</v>
      </c>
      <c r="BK12" s="51">
        <v>140</v>
      </c>
      <c r="BL12" s="56">
        <f ca="1"/>
        <v>17</v>
      </c>
      <c r="BM12" s="59"/>
      <c r="BN12" s="137" t="str">
        <f t="shared" si="4"/>
        <v>561 - more</v>
      </c>
      <c r="BO12" s="52" t="s">
        <v>62</v>
      </c>
      <c r="BP12" s="58">
        <v>52</v>
      </c>
      <c r="BQ12" s="59"/>
      <c r="BR12" s="137" t="str">
        <f t="shared" si="5"/>
        <v>501 - 550</v>
      </c>
      <c r="BS12" s="52">
        <v>550</v>
      </c>
      <c r="BT12" s="58">
        <v>6</v>
      </c>
      <c r="BU12" s="59"/>
      <c r="BV12" s="59"/>
      <c r="BW12" s="59"/>
      <c r="BX12" s="59"/>
      <c r="BY12" s="59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</row>
    <row r="13" spans="1:92" x14ac:dyDescent="0.2">
      <c r="A13" s="59">
        <v>10</v>
      </c>
      <c r="B13" s="44">
        <v>5</v>
      </c>
      <c r="C13" s="59"/>
      <c r="D13" s="46"/>
      <c r="E13" s="31"/>
      <c r="F13" s="31"/>
      <c r="G13" s="31" t="s">
        <v>145</v>
      </c>
      <c r="H13" s="96">
        <v>161</v>
      </c>
      <c r="I13" s="31"/>
      <c r="J13" s="31"/>
      <c r="K13" s="26"/>
      <c r="L13" s="29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77"/>
      <c r="Y13" s="31"/>
      <c r="Z13" s="31"/>
      <c r="AA13" s="77"/>
      <c r="AB13" s="31"/>
      <c r="AC13" s="31"/>
      <c r="AD13" s="31"/>
      <c r="AE13" s="31"/>
      <c r="AF13" s="31"/>
      <c r="AG13" s="122"/>
      <c r="AH13" s="59"/>
      <c r="AI13" s="59">
        <v>10</v>
      </c>
      <c r="AJ13" s="44">
        <v>5</v>
      </c>
      <c r="AK13" s="59"/>
      <c r="AL13" s="59"/>
      <c r="AM13" s="59"/>
      <c r="AN13" s="59"/>
      <c r="AO13" s="59"/>
      <c r="AP13" s="59"/>
      <c r="AQ13" s="64"/>
      <c r="AR13" s="31"/>
      <c r="AS13" s="31"/>
      <c r="AT13" s="31"/>
      <c r="AU13" s="31"/>
      <c r="AV13" s="31"/>
      <c r="AW13" s="31"/>
      <c r="AX13" s="31"/>
      <c r="AY13" s="64"/>
      <c r="AZ13" s="59"/>
      <c r="BA13" s="59"/>
      <c r="BB13" s="137" t="str">
        <f t="shared" si="3"/>
        <v>801 - 900</v>
      </c>
      <c r="BC13" s="51">
        <v>900</v>
      </c>
      <c r="BD13" s="56">
        <f ca="1"/>
        <v>13</v>
      </c>
      <c r="BE13" s="59"/>
      <c r="BF13" s="140" t="str">
        <f>BG12+1&amp;" +"</f>
        <v>176 +</v>
      </c>
      <c r="BG13" s="52" t="s">
        <v>62</v>
      </c>
      <c r="BH13" s="58">
        <v>17</v>
      </c>
      <c r="BI13" s="59"/>
      <c r="BJ13" s="137" t="str">
        <f t="shared" si="10"/>
        <v>141 - 160</v>
      </c>
      <c r="BK13" s="51">
        <v>160</v>
      </c>
      <c r="BL13" s="56">
        <f ca="1"/>
        <v>36</v>
      </c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</row>
    <row r="14" spans="1:92" x14ac:dyDescent="0.2">
      <c r="A14" s="59">
        <v>11</v>
      </c>
      <c r="B14" s="44">
        <v>6</v>
      </c>
      <c r="C14" s="59"/>
      <c r="D14" s="46"/>
      <c r="E14" s="31"/>
      <c r="F14" s="31"/>
      <c r="G14" s="31" t="s">
        <v>104</v>
      </c>
      <c r="H14" s="101">
        <f>'Data for 2021'!M7</f>
        <v>21.027653749817695</v>
      </c>
      <c r="I14" s="31"/>
      <c r="J14" s="31"/>
      <c r="K14" s="30"/>
      <c r="L14" s="32"/>
      <c r="M14" s="76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77"/>
      <c r="Y14" s="31"/>
      <c r="Z14" s="31"/>
      <c r="AA14" s="77"/>
      <c r="AB14" s="31"/>
      <c r="AC14" s="31"/>
      <c r="AD14" s="31"/>
      <c r="AE14" s="31"/>
      <c r="AF14" s="31"/>
      <c r="AG14" s="122"/>
      <c r="AH14" s="59"/>
      <c r="AI14" s="59">
        <v>11</v>
      </c>
      <c r="AJ14" s="44">
        <v>6</v>
      </c>
      <c r="AK14" s="59"/>
      <c r="AL14" s="59"/>
      <c r="AM14" s="59"/>
      <c r="AN14" s="59"/>
      <c r="AO14" s="59"/>
      <c r="AP14" s="59"/>
      <c r="AQ14" s="64"/>
      <c r="AR14" s="31"/>
      <c r="AS14" s="31"/>
      <c r="AT14" s="31"/>
      <c r="AU14" s="31"/>
      <c r="AV14" s="31"/>
      <c r="AW14" s="31"/>
      <c r="AX14" s="31"/>
      <c r="AY14" s="64"/>
      <c r="AZ14" s="59"/>
      <c r="BA14" s="59"/>
      <c r="BB14" s="137" t="str">
        <f>BC13+1&amp;" +"</f>
        <v>901 +</v>
      </c>
      <c r="BC14" s="52" t="s">
        <v>62</v>
      </c>
      <c r="BD14" s="58">
        <f ca="1"/>
        <v>41</v>
      </c>
      <c r="BE14" s="59"/>
      <c r="BF14" s="136"/>
      <c r="BG14" s="59"/>
      <c r="BH14" s="59"/>
      <c r="BI14" s="59"/>
      <c r="BJ14" s="137" t="str">
        <f>BK13+1&amp;" +"</f>
        <v>161 +</v>
      </c>
      <c r="BK14" s="52" t="s">
        <v>62</v>
      </c>
      <c r="BL14" s="58">
        <f ca="1"/>
        <v>73</v>
      </c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</row>
    <row r="15" spans="1:92" x14ac:dyDescent="0.2">
      <c r="A15" s="59">
        <v>12</v>
      </c>
      <c r="B15" s="62">
        <v>5</v>
      </c>
      <c r="C15" s="59"/>
      <c r="D15" s="46"/>
      <c r="E15" s="31"/>
      <c r="F15" s="31"/>
      <c r="G15" s="31"/>
      <c r="H15" s="31"/>
      <c r="I15" s="31"/>
      <c r="J15" s="31"/>
      <c r="K15" s="30"/>
      <c r="L15" s="32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77"/>
      <c r="Y15" s="31"/>
      <c r="Z15" s="31"/>
      <c r="AA15" s="77"/>
      <c r="AB15" s="31"/>
      <c r="AC15" s="31"/>
      <c r="AD15" s="31"/>
      <c r="AE15" s="31"/>
      <c r="AF15" s="31"/>
      <c r="AG15" s="122"/>
      <c r="AH15" s="59"/>
      <c r="AI15" s="59">
        <v>12</v>
      </c>
      <c r="AJ15" s="62">
        <v>5</v>
      </c>
      <c r="AK15" s="59"/>
      <c r="AL15" s="59"/>
      <c r="AM15" s="59"/>
      <c r="AN15" s="59"/>
      <c r="AO15" s="59"/>
      <c r="AP15" s="59"/>
      <c r="AQ15" s="64"/>
      <c r="AR15" s="31"/>
      <c r="AS15" s="31"/>
      <c r="AT15" s="31"/>
      <c r="AU15" s="31"/>
      <c r="AV15" s="31"/>
      <c r="AW15" s="31"/>
      <c r="AX15" s="31"/>
      <c r="AY15" s="64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</row>
    <row r="16" spans="1:92" x14ac:dyDescent="0.2">
      <c r="A16" s="59">
        <v>13</v>
      </c>
      <c r="B16" s="62">
        <v>6</v>
      </c>
      <c r="C16" s="59"/>
      <c r="D16" s="46"/>
      <c r="E16" s="31"/>
      <c r="F16" s="31"/>
      <c r="G16" s="31" t="s">
        <v>114</v>
      </c>
      <c r="H16" s="61">
        <v>100</v>
      </c>
      <c r="I16" s="128" t="s">
        <v>166</v>
      </c>
      <c r="J16" s="31"/>
      <c r="K16" s="30"/>
      <c r="L16" s="32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77"/>
      <c r="Y16" s="31"/>
      <c r="Z16" s="31"/>
      <c r="AA16" s="77"/>
      <c r="AB16" s="31"/>
      <c r="AC16" s="31"/>
      <c r="AD16" s="31"/>
      <c r="AE16" s="31"/>
      <c r="AF16" s="31"/>
      <c r="AG16" s="122"/>
      <c r="AH16" s="59"/>
      <c r="AI16" s="59">
        <v>13</v>
      </c>
      <c r="AJ16" s="62">
        <v>5</v>
      </c>
      <c r="AK16" s="59"/>
      <c r="AL16" s="59"/>
      <c r="AM16" s="59"/>
      <c r="AN16" s="59"/>
      <c r="AO16" s="59"/>
      <c r="AP16" s="59"/>
      <c r="AQ16" s="64"/>
      <c r="AR16" s="31"/>
      <c r="AS16" s="31"/>
      <c r="AT16" s="31"/>
      <c r="AU16" s="31"/>
      <c r="AV16" s="31"/>
      <c r="AW16" s="31"/>
      <c r="AX16" s="31"/>
      <c r="AY16" s="64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</row>
    <row r="17" spans="1:92" x14ac:dyDescent="0.2">
      <c r="A17" s="59">
        <v>14</v>
      </c>
      <c r="B17" s="63">
        <v>5</v>
      </c>
      <c r="C17" s="59"/>
      <c r="D17" s="46"/>
      <c r="E17" s="31"/>
      <c r="F17" s="31"/>
      <c r="G17" s="31"/>
      <c r="H17" s="31"/>
      <c r="I17" s="31"/>
      <c r="J17" s="31"/>
      <c r="K17" s="130"/>
      <c r="L17" s="42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77"/>
      <c r="Y17" s="31"/>
      <c r="Z17" s="31"/>
      <c r="AA17" s="77"/>
      <c r="AB17" s="31"/>
      <c r="AC17" s="31"/>
      <c r="AD17" s="31"/>
      <c r="AE17" s="31"/>
      <c r="AF17" s="31"/>
      <c r="AG17" s="122"/>
      <c r="AH17" s="59"/>
      <c r="AI17" s="59">
        <v>14</v>
      </c>
      <c r="AJ17" s="63">
        <v>6</v>
      </c>
      <c r="AK17" s="59"/>
      <c r="AL17" s="59"/>
      <c r="AM17" s="59"/>
      <c r="AN17" s="59"/>
      <c r="AO17" s="59"/>
      <c r="AP17" s="59"/>
      <c r="AQ17" s="64"/>
      <c r="AR17" s="31"/>
      <c r="AS17" s="31"/>
      <c r="AT17" s="31"/>
      <c r="AU17" s="31"/>
      <c r="AV17" s="31"/>
      <c r="AW17" s="31"/>
      <c r="AX17" s="31"/>
      <c r="AY17" s="64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</row>
    <row r="18" spans="1:92" x14ac:dyDescent="0.2">
      <c r="A18" s="59" t="s">
        <v>102</v>
      </c>
      <c r="B18" s="59">
        <f>SUM(Sawmill_schedule)</f>
        <v>67</v>
      </c>
      <c r="C18" s="59"/>
      <c r="D18" s="46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77"/>
      <c r="Y18" s="31"/>
      <c r="Z18" s="31"/>
      <c r="AA18" s="77"/>
      <c r="AB18" s="31"/>
      <c r="AC18" s="31"/>
      <c r="AD18" s="31"/>
      <c r="AE18" s="31"/>
      <c r="AF18" s="31"/>
      <c r="AG18" s="122"/>
      <c r="AH18" s="59"/>
      <c r="AI18" s="59" t="s">
        <v>102</v>
      </c>
      <c r="AJ18" s="121">
        <f>SUM(AJ4:AJ17)</f>
        <v>69</v>
      </c>
      <c r="AK18" s="59"/>
      <c r="AL18" s="59"/>
      <c r="AM18" s="59"/>
      <c r="AN18" s="59"/>
      <c r="AO18" s="59"/>
      <c r="AP18" s="59"/>
      <c r="AQ18" s="64"/>
      <c r="AR18" s="31"/>
      <c r="AS18" s="31"/>
      <c r="AT18" s="31"/>
      <c r="AU18" s="31"/>
      <c r="AV18" s="31"/>
      <c r="AW18" s="31"/>
      <c r="AX18" s="31"/>
      <c r="AY18" s="64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</row>
    <row r="19" spans="1:92" ht="54" x14ac:dyDescent="0.25">
      <c r="A19" s="33"/>
      <c r="B19" s="73" t="s">
        <v>91</v>
      </c>
      <c r="C19" s="34" t="s">
        <v>70</v>
      </c>
      <c r="D19" s="34" t="s">
        <v>71</v>
      </c>
      <c r="E19" s="49" t="s">
        <v>72</v>
      </c>
      <c r="F19" s="47" t="s">
        <v>55</v>
      </c>
      <c r="G19" s="47" t="s">
        <v>73</v>
      </c>
      <c r="H19" s="34" t="s">
        <v>52</v>
      </c>
      <c r="I19" s="34" t="s">
        <v>53</v>
      </c>
      <c r="J19" s="34" t="s">
        <v>56</v>
      </c>
      <c r="K19" s="34" t="s">
        <v>54</v>
      </c>
      <c r="L19" s="34" t="s">
        <v>57</v>
      </c>
      <c r="M19" s="48" t="s">
        <v>58</v>
      </c>
      <c r="N19" s="48"/>
      <c r="O19" s="34" t="s">
        <v>107</v>
      </c>
      <c r="P19" s="34" t="s">
        <v>52</v>
      </c>
      <c r="Q19" s="34" t="s">
        <v>53</v>
      </c>
      <c r="R19" s="34" t="s">
        <v>56</v>
      </c>
      <c r="S19" s="34" t="s">
        <v>54</v>
      </c>
      <c r="T19" s="33" t="s">
        <v>57</v>
      </c>
      <c r="U19" s="33"/>
      <c r="V19" s="33"/>
      <c r="W19" s="33" t="s">
        <v>113</v>
      </c>
      <c r="X19" s="83" t="s">
        <v>66</v>
      </c>
      <c r="Y19" s="33" t="s">
        <v>80</v>
      </c>
      <c r="Z19" s="33" t="s">
        <v>103</v>
      </c>
      <c r="AA19" s="83" t="s">
        <v>104</v>
      </c>
      <c r="AB19" s="33" t="s">
        <v>106</v>
      </c>
      <c r="AC19" s="33" t="s">
        <v>105</v>
      </c>
      <c r="AD19" s="84" t="s">
        <v>86</v>
      </c>
      <c r="AE19" s="33"/>
      <c r="AF19" s="31"/>
      <c r="AG19" s="122" t="s">
        <v>155</v>
      </c>
      <c r="AH19" s="59"/>
      <c r="AI19" s="59" t="s">
        <v>64</v>
      </c>
      <c r="AJ19" s="60" t="s">
        <v>65</v>
      </c>
      <c r="AK19" s="59"/>
      <c r="AL19" s="59"/>
      <c r="AM19" s="59" t="s">
        <v>151</v>
      </c>
      <c r="AN19" s="59"/>
      <c r="AO19" s="59"/>
      <c r="AP19" s="59"/>
      <c r="AQ19" s="64"/>
      <c r="AR19" s="31"/>
      <c r="AS19" s="31"/>
      <c r="AT19" s="31"/>
      <c r="AU19" s="31"/>
      <c r="AV19" s="31"/>
      <c r="AW19" s="31"/>
      <c r="AX19" s="31"/>
      <c r="AY19" s="64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</row>
    <row r="20" spans="1:92" x14ac:dyDescent="0.2">
      <c r="A20" s="31" t="s">
        <v>100</v>
      </c>
      <c r="B20" s="67">
        <v>1</v>
      </c>
      <c r="C20" s="50">
        <v>1</v>
      </c>
      <c r="D20" s="35">
        <v>1</v>
      </c>
      <c r="E20" s="35">
        <v>1</v>
      </c>
      <c r="F20" s="35">
        <f t="shared" ref="F20:F51" si="11">IF(OR(I20&lt;&gt;0,(AND(sat_working=TRUE,E20=6))),1,0)</f>
        <v>1</v>
      </c>
      <c r="G20" s="35" cm="1">
        <f t="array" ref="G20">IF(E20&lt;=INDEX($B$4:$B$17,C20),1,0)</f>
        <v>1</v>
      </c>
      <c r="H20" s="119">
        <v>0</v>
      </c>
      <c r="I20" s="36">
        <f>IF(AND(sat_working=TRUE,E20=6),ROUNDDOWN(AVERAGE('Data for 2021'!I19:I23),0),'Data for 2021'!I19)</f>
        <v>47</v>
      </c>
      <c r="J20" s="80">
        <v>0</v>
      </c>
      <c r="K20" s="80">
        <f t="shared" ref="K20:K51" si="12">J20+I20-H20</f>
        <v>47</v>
      </c>
      <c r="L20" s="55"/>
      <c r="M20" s="53"/>
      <c r="N20" s="53"/>
      <c r="O20" s="50">
        <v>1</v>
      </c>
      <c r="P20" s="88">
        <f ca="1">AVERAGE(H20:H33)</f>
        <v>27.640928320516164</v>
      </c>
      <c r="Q20" s="88">
        <f>AVERAGE(I20:I33)</f>
        <v>51.071428571428569</v>
      </c>
      <c r="R20" s="88">
        <f ca="1">AVERAGE(J20:J33)</f>
        <v>169.67618367274463</v>
      </c>
      <c r="S20" s="88">
        <f ca="1">AVERAGE(K20:K33)</f>
        <v>193.10668392365704</v>
      </c>
      <c r="T20" s="92">
        <f ca="1">AVERAGE(L20:L33)</f>
        <v>7.6923076923076927E-2</v>
      </c>
      <c r="U20" s="31"/>
      <c r="V20" s="31"/>
      <c r="W20" s="55">
        <v>1</v>
      </c>
      <c r="X20" s="80">
        <v>661.34096955856342</v>
      </c>
      <c r="Y20" s="80">
        <v>47</v>
      </c>
      <c r="Z20" s="80">
        <v>1268.582432018457</v>
      </c>
      <c r="AA20" s="80">
        <v>366.67314967686104</v>
      </c>
      <c r="AB20" s="80">
        <v>1221.582432018457</v>
      </c>
      <c r="AC20" s="80">
        <v>1027.124557271658</v>
      </c>
      <c r="AD20" s="55">
        <v>1</v>
      </c>
      <c r="AE20" s="31"/>
      <c r="AF20" s="31"/>
      <c r="AG20" s="122"/>
      <c r="AH20" s="59"/>
      <c r="AI20" s="59">
        <v>1</v>
      </c>
      <c r="AJ20" s="43">
        <v>2</v>
      </c>
      <c r="AK20" s="59"/>
      <c r="AL20" s="59"/>
      <c r="AM20" s="121" t="s">
        <v>152</v>
      </c>
      <c r="AN20" s="59"/>
      <c r="AO20" s="121">
        <v>457</v>
      </c>
      <c r="AP20" s="59" t="s">
        <v>148</v>
      </c>
      <c r="AQ20" s="59"/>
      <c r="AR20" s="59"/>
      <c r="AS20" s="31"/>
      <c r="AT20" s="31"/>
      <c r="AU20" s="31"/>
      <c r="AV20" s="31"/>
      <c r="AW20" s="31"/>
      <c r="AX20" s="31"/>
      <c r="AY20" s="64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</row>
    <row r="21" spans="1:92" x14ac:dyDescent="0.2">
      <c r="A21" s="31"/>
      <c r="B21" s="70">
        <v>2</v>
      </c>
      <c r="C21" s="51">
        <v>1</v>
      </c>
      <c r="D21" s="37">
        <v>2</v>
      </c>
      <c r="E21" s="37">
        <v>2</v>
      </c>
      <c r="F21" s="55">
        <f t="shared" si="11"/>
        <v>1</v>
      </c>
      <c r="G21" s="37" cm="1">
        <f t="array" ref="G21">IF(E21&lt;=INDEX($B$4:$B$17,C21),1,0)</f>
        <v>1</v>
      </c>
      <c r="H21" s="120">
        <f t="shared" ref="H21:H52" ca="1" si="13">IF(G21=1,IF(cutting_choice=1, MIN(J21,$H$12),MIN(J21,NORMINV(RAND(),$H$13,$H$14))),0)</f>
        <v>47</v>
      </c>
      <c r="I21" s="38">
        <f>IF(AND(sat_working=TRUE,E21=6),ROUNDDOWN(AVERAGE('Data for 2021'!I20:I24),0),'Data for 2021'!I20)</f>
        <v>64</v>
      </c>
      <c r="J21" s="80">
        <f>K20</f>
        <v>47</v>
      </c>
      <c r="K21" s="80">
        <f t="shared" ca="1" si="12"/>
        <v>64</v>
      </c>
      <c r="L21" s="55">
        <f t="shared" ref="L21:L52" ca="1" si="14">IF(AND(H21=J21,G21),1,0)</f>
        <v>1</v>
      </c>
      <c r="M21" s="55">
        <f>IF(OR(G20=0,L20=1),"",H20)</f>
        <v>0</v>
      </c>
      <c r="N21" s="55"/>
      <c r="O21" s="51">
        <v>2</v>
      </c>
      <c r="P21" s="80">
        <f ca="1">AVERAGE(H34:H47)</f>
        <v>72.530560401439956</v>
      </c>
      <c r="Q21" s="80">
        <f t="shared" ref="Q21:T21" si="15">AVERAGE(I34:I47)</f>
        <v>80.571428571428569</v>
      </c>
      <c r="R21" s="80">
        <f t="shared" ca="1" si="15"/>
        <v>283.77664986889806</v>
      </c>
      <c r="S21" s="80">
        <f t="shared" ca="1" si="15"/>
        <v>291.81751803888665</v>
      </c>
      <c r="T21" s="93">
        <f t="shared" ca="1" si="15"/>
        <v>0</v>
      </c>
      <c r="U21" s="31"/>
      <c r="V21" s="31"/>
      <c r="W21" s="55">
        <v>2</v>
      </c>
      <c r="X21" s="80">
        <v>720.13056199131483</v>
      </c>
      <c r="Y21" s="80">
        <v>47</v>
      </c>
      <c r="Z21" s="80">
        <v>1305.6121015542976</v>
      </c>
      <c r="AA21" s="80">
        <v>362.38803671042274</v>
      </c>
      <c r="AB21" s="80">
        <v>1258.6121015542976</v>
      </c>
      <c r="AC21" s="80">
        <v>894.42382921142394</v>
      </c>
      <c r="AD21" s="55">
        <v>1</v>
      </c>
      <c r="AE21" s="31"/>
      <c r="AF21" s="31"/>
      <c r="AG21" s="122"/>
      <c r="AH21" s="59"/>
      <c r="AI21" s="59">
        <v>2</v>
      </c>
      <c r="AJ21" s="44">
        <v>3</v>
      </c>
      <c r="AK21" s="59"/>
      <c r="AL21" s="59"/>
      <c r="AM21" s="59"/>
      <c r="AN21" s="59"/>
      <c r="AO21" s="59"/>
      <c r="AP21" s="59"/>
      <c r="AQ21" s="59"/>
      <c r="AR21" s="59"/>
      <c r="AS21" s="31"/>
      <c r="AT21" s="31"/>
      <c r="AU21" s="31"/>
      <c r="AV21" s="31"/>
      <c r="AW21" s="31"/>
      <c r="AX21" s="31"/>
      <c r="AY21" s="64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</row>
    <row r="22" spans="1:92" x14ac:dyDescent="0.2">
      <c r="A22" s="31"/>
      <c r="B22" s="67">
        <v>3</v>
      </c>
      <c r="C22" s="51">
        <v>1</v>
      </c>
      <c r="D22" s="37">
        <v>3</v>
      </c>
      <c r="E22" s="37">
        <v>3</v>
      </c>
      <c r="F22" s="55">
        <f t="shared" si="11"/>
        <v>1</v>
      </c>
      <c r="G22" s="37" cm="1">
        <f t="array" ref="G22">IF(E22&lt;=INDEX($B$4:$B$17,C22),1,0)</f>
        <v>0</v>
      </c>
      <c r="H22" s="120">
        <f t="shared" ca="1" si="13"/>
        <v>0</v>
      </c>
      <c r="I22" s="38">
        <f>IF(AND(sat_working=TRUE,E22=6),ROUNDDOWN(AVERAGE('Data for 2021'!I21:I25),0),'Data for 2021'!I21)</f>
        <v>49</v>
      </c>
      <c r="J22" s="80">
        <f t="shared" ref="J22:J85" ca="1" si="16">K21</f>
        <v>64</v>
      </c>
      <c r="K22" s="80">
        <f t="shared" ca="1" si="12"/>
        <v>113</v>
      </c>
      <c r="L22" s="55">
        <f t="shared" ca="1" si="14"/>
        <v>0</v>
      </c>
      <c r="M22" s="55" t="str">
        <f t="shared" ref="M22:M85" ca="1" si="17">IF(OR(G21=0,L21=1),"",H21)</f>
        <v/>
      </c>
      <c r="N22" s="55"/>
      <c r="O22" s="51">
        <v>3</v>
      </c>
      <c r="P22" s="80">
        <f ca="1">AVERAGE(H48:H61)</f>
        <v>90.761369820512144</v>
      </c>
      <c r="Q22" s="80">
        <f>AVERAGE(I48:I61)</f>
        <v>84.142857142857139</v>
      </c>
      <c r="R22" s="80">
        <f ca="1">AVERAGE(J48:J61)</f>
        <v>287.74689448404189</v>
      </c>
      <c r="S22" s="80">
        <f ca="1">AVERAGE(K48:K61)</f>
        <v>281.12838180638687</v>
      </c>
      <c r="T22" s="93">
        <f ca="1">AVERAGE(L48:L61)</f>
        <v>0</v>
      </c>
      <c r="U22" s="31"/>
      <c r="V22" s="31"/>
      <c r="W22" s="55">
        <v>3</v>
      </c>
      <c r="X22" s="80">
        <v>468.21476807945737</v>
      </c>
      <c r="Y22" s="80">
        <v>47</v>
      </c>
      <c r="Z22" s="80">
        <v>943.79107206305957</v>
      </c>
      <c r="AA22" s="80">
        <v>241.93704431973262</v>
      </c>
      <c r="AB22" s="80">
        <v>896.79107206305957</v>
      </c>
      <c r="AC22" s="80">
        <v>531.599339740755</v>
      </c>
      <c r="AD22" s="55">
        <v>7</v>
      </c>
      <c r="AE22" s="31"/>
      <c r="AF22" s="31"/>
      <c r="AG22" s="122"/>
      <c r="AH22" s="59"/>
      <c r="AI22" s="59">
        <v>3</v>
      </c>
      <c r="AJ22" s="44">
        <v>4</v>
      </c>
      <c r="AK22" s="59"/>
      <c r="AL22" s="59"/>
      <c r="AM22" s="121" t="s">
        <v>154</v>
      </c>
      <c r="AN22" s="59"/>
      <c r="AO22" s="121">
        <v>0</v>
      </c>
      <c r="AP22" s="59" t="s">
        <v>149</v>
      </c>
      <c r="AQ22" s="59"/>
      <c r="AR22" s="59"/>
      <c r="AS22" s="31"/>
      <c r="AT22" s="31"/>
      <c r="AU22" s="31"/>
      <c r="AV22" s="31"/>
      <c r="AW22" s="31"/>
      <c r="AX22" s="31"/>
      <c r="AY22" s="64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</row>
    <row r="23" spans="1:92" x14ac:dyDescent="0.2">
      <c r="A23" s="31"/>
      <c r="B23" s="70">
        <v>4</v>
      </c>
      <c r="C23" s="51">
        <v>1</v>
      </c>
      <c r="D23" s="37">
        <v>4</v>
      </c>
      <c r="E23" s="37">
        <v>4</v>
      </c>
      <c r="F23" s="55">
        <f t="shared" si="11"/>
        <v>1</v>
      </c>
      <c r="G23" s="37" cm="1">
        <f t="array" ref="G23">IF(E23&lt;=INDEX($B$4:$B$17,C23),1,0)</f>
        <v>0</v>
      </c>
      <c r="H23" s="120">
        <f t="shared" ca="1" si="13"/>
        <v>0</v>
      </c>
      <c r="I23" s="38">
        <f>IF(AND(sat_working=TRUE,E23=6),ROUNDDOWN(AVERAGE('Data for 2021'!I22:I26),0),'Data for 2021'!I22)</f>
        <v>37</v>
      </c>
      <c r="J23" s="80">
        <f t="shared" ca="1" si="16"/>
        <v>113</v>
      </c>
      <c r="K23" s="80">
        <f t="shared" ca="1" si="12"/>
        <v>150</v>
      </c>
      <c r="L23" s="55">
        <f t="shared" ca="1" si="14"/>
        <v>0</v>
      </c>
      <c r="M23" s="55" t="str">
        <f t="shared" ca="1" si="17"/>
        <v/>
      </c>
      <c r="N23" s="55"/>
      <c r="O23" s="51">
        <v>4</v>
      </c>
      <c r="P23" s="80">
        <f ca="1">AVERAGE(H62:H75)</f>
        <v>88.308347909165761</v>
      </c>
      <c r="Q23" s="80">
        <f t="shared" ref="Q23:T23" si="18">AVERAGE(I62:I75)</f>
        <v>98.571428571428569</v>
      </c>
      <c r="R23" s="80">
        <f t="shared" ca="1" si="18"/>
        <v>298.66836158784997</v>
      </c>
      <c r="S23" s="80">
        <f t="shared" ca="1" si="18"/>
        <v>308.93144225011281</v>
      </c>
      <c r="T23" s="93">
        <f t="shared" ca="1" si="18"/>
        <v>7.1428571428571425E-2</v>
      </c>
      <c r="U23" s="31"/>
      <c r="V23" s="31"/>
      <c r="W23" s="55">
        <v>4</v>
      </c>
      <c r="X23" s="80">
        <v>535.99495301423781</v>
      </c>
      <c r="Y23" s="80">
        <v>38</v>
      </c>
      <c r="Z23" s="80">
        <v>1004.1299966359181</v>
      </c>
      <c r="AA23" s="80">
        <v>267.56464806945291</v>
      </c>
      <c r="AB23" s="80">
        <v>966.12999663591813</v>
      </c>
      <c r="AC23" s="80">
        <v>635.62868575533298</v>
      </c>
      <c r="AD23" s="55">
        <v>6</v>
      </c>
      <c r="AE23" s="31"/>
      <c r="AF23" s="31"/>
      <c r="AG23" s="122"/>
      <c r="AH23" s="59"/>
      <c r="AI23" s="59">
        <v>4</v>
      </c>
      <c r="AJ23" s="44">
        <v>4</v>
      </c>
      <c r="AK23" s="59"/>
      <c r="AL23" s="59"/>
      <c r="AM23" s="59"/>
      <c r="AN23" s="59"/>
      <c r="AO23" s="59"/>
      <c r="AP23" s="59"/>
      <c r="AQ23" s="59"/>
      <c r="AR23" s="59"/>
      <c r="AS23" s="31"/>
      <c r="AT23" s="31"/>
      <c r="AU23" s="31"/>
      <c r="AV23" s="31"/>
      <c r="AW23" s="31"/>
      <c r="AX23" s="31"/>
      <c r="AY23" s="64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</row>
    <row r="24" spans="1:92" x14ac:dyDescent="0.2">
      <c r="A24" s="31"/>
      <c r="B24" s="67">
        <v>5</v>
      </c>
      <c r="C24" s="51">
        <v>1</v>
      </c>
      <c r="D24" s="37">
        <v>5</v>
      </c>
      <c r="E24" s="37">
        <v>5</v>
      </c>
      <c r="F24" s="55">
        <f t="shared" si="11"/>
        <v>1</v>
      </c>
      <c r="G24" s="37" cm="1">
        <f t="array" ref="G24">IF(E24&lt;=INDEX($B$4:$B$17,C24),1,0)</f>
        <v>0</v>
      </c>
      <c r="H24" s="120">
        <f t="shared" ca="1" si="13"/>
        <v>0</v>
      </c>
      <c r="I24" s="38">
        <f>IF(AND(sat_working=TRUE,E24=6),ROUNDDOWN(AVERAGE('Data for 2021'!I23:I27),0),'Data for 2021'!I23)</f>
        <v>81</v>
      </c>
      <c r="J24" s="80">
        <f t="shared" ca="1" si="16"/>
        <v>150</v>
      </c>
      <c r="K24" s="80">
        <f t="shared" ca="1" si="12"/>
        <v>231</v>
      </c>
      <c r="L24" s="55">
        <f t="shared" ca="1" si="14"/>
        <v>0</v>
      </c>
      <c r="M24" s="55" t="str">
        <f t="shared" ca="1" si="17"/>
        <v/>
      </c>
      <c r="N24" s="55"/>
      <c r="O24" s="51">
        <v>5</v>
      </c>
      <c r="P24" s="80">
        <f ca="1">AVERAGE(H76:H89)</f>
        <v>123.27417298216021</v>
      </c>
      <c r="Q24" s="80">
        <f t="shared" ref="Q24:T24" si="19">AVERAGE(I76:I89)</f>
        <v>119.5</v>
      </c>
      <c r="R24" s="80">
        <f t="shared" ca="1" si="19"/>
        <v>358.84385604871477</v>
      </c>
      <c r="S24" s="80">
        <f t="shared" ca="1" si="19"/>
        <v>355.0696830665546</v>
      </c>
      <c r="T24" s="93">
        <f t="shared" ca="1" si="19"/>
        <v>0</v>
      </c>
      <c r="U24" s="31"/>
      <c r="V24" s="31"/>
      <c r="W24" s="55">
        <v>5</v>
      </c>
      <c r="X24" s="80">
        <v>459.0092464780123</v>
      </c>
      <c r="Y24" s="80">
        <v>47</v>
      </c>
      <c r="Z24" s="80">
        <v>795.63822426043453</v>
      </c>
      <c r="AA24" s="80">
        <v>186.4176323087365</v>
      </c>
      <c r="AB24" s="80">
        <v>748.63822426043453</v>
      </c>
      <c r="AC24" s="80">
        <v>552.70507527991174</v>
      </c>
      <c r="AD24" s="55">
        <v>5</v>
      </c>
      <c r="AE24" s="31"/>
      <c r="AF24" s="31"/>
      <c r="AG24" s="122"/>
      <c r="AH24" s="59"/>
      <c r="AI24" s="59">
        <v>5</v>
      </c>
      <c r="AJ24" s="44">
        <v>5</v>
      </c>
      <c r="AK24" s="59"/>
      <c r="AL24" s="59"/>
      <c r="AM24" s="121" t="s">
        <v>153</v>
      </c>
      <c r="AN24" s="59"/>
      <c r="AO24" s="121">
        <v>19</v>
      </c>
      <c r="AP24" s="59" t="s">
        <v>150</v>
      </c>
      <c r="AQ24" s="59"/>
      <c r="AR24" s="59"/>
      <c r="AS24" s="31"/>
      <c r="AT24" s="31"/>
      <c r="AU24" s="31"/>
      <c r="AV24" s="31"/>
      <c r="AW24" s="31"/>
      <c r="AX24" s="31"/>
      <c r="AY24" s="64"/>
      <c r="AZ24" s="64"/>
      <c r="BA24" s="64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</row>
    <row r="25" spans="1:92" x14ac:dyDescent="0.2">
      <c r="A25" s="31"/>
      <c r="B25" s="70">
        <v>6</v>
      </c>
      <c r="C25" s="51">
        <v>1</v>
      </c>
      <c r="D25" s="37">
        <v>6</v>
      </c>
      <c r="E25" s="37">
        <v>6</v>
      </c>
      <c r="F25" s="55">
        <f t="shared" si="11"/>
        <v>1</v>
      </c>
      <c r="G25" s="37" cm="1">
        <f t="array" ref="G25">IF(E25&lt;=INDEX($B$4:$B$17,C25),1,0)</f>
        <v>0</v>
      </c>
      <c r="H25" s="120">
        <f t="shared" ca="1" si="13"/>
        <v>0</v>
      </c>
      <c r="I25" s="38">
        <f>IF(AND(sat_working=TRUE,E25=6),ROUNDDOWN(AVERAGE('Data for 2021'!I26:I30,'Data for 2021'!I19:I23),0),'Data for 2021'!I24)</f>
        <v>59</v>
      </c>
      <c r="J25" s="80">
        <f t="shared" ca="1" si="16"/>
        <v>231</v>
      </c>
      <c r="K25" s="80">
        <f t="shared" ca="1" si="12"/>
        <v>290</v>
      </c>
      <c r="L25" s="55">
        <f t="shared" ca="1" si="14"/>
        <v>0</v>
      </c>
      <c r="M25" s="55" t="str">
        <f t="shared" ca="1" si="17"/>
        <v/>
      </c>
      <c r="N25" s="55"/>
      <c r="O25" s="51">
        <v>6</v>
      </c>
      <c r="P25" s="80">
        <f ca="1">AVERAGE(H90:H103)</f>
        <v>133.4289977690182</v>
      </c>
      <c r="Q25" s="80">
        <f t="shared" ref="Q25:T25" si="20">AVERAGE(I90:I103)</f>
        <v>126.28571428571429</v>
      </c>
      <c r="R25" s="80">
        <f t="shared" ca="1" si="20"/>
        <v>408.33271039355441</v>
      </c>
      <c r="S25" s="80">
        <f t="shared" ca="1" si="20"/>
        <v>401.18942691025046</v>
      </c>
      <c r="T25" s="93">
        <f t="shared" ca="1" si="20"/>
        <v>0</v>
      </c>
      <c r="U25" s="64"/>
      <c r="V25" s="64"/>
      <c r="W25" s="55">
        <v>6</v>
      </c>
      <c r="X25" s="80">
        <v>581.05044028751854</v>
      </c>
      <c r="Y25" s="80">
        <v>47</v>
      </c>
      <c r="Z25" s="80">
        <v>989.25696103494488</v>
      </c>
      <c r="AA25" s="80">
        <v>207.25953012252904</v>
      </c>
      <c r="AB25" s="80">
        <v>942.25696103494488</v>
      </c>
      <c r="AC25" s="80">
        <v>571.88462047149187</v>
      </c>
      <c r="AD25" s="55">
        <v>1</v>
      </c>
      <c r="AE25" s="31"/>
      <c r="AF25" s="31"/>
      <c r="AG25" s="122"/>
      <c r="AH25" s="59"/>
      <c r="AI25" s="59">
        <v>6</v>
      </c>
      <c r="AJ25" s="44">
        <v>6</v>
      </c>
      <c r="AK25" s="59"/>
      <c r="AL25" s="59"/>
      <c r="AM25" s="59"/>
      <c r="AN25" s="59"/>
      <c r="AO25" s="59"/>
      <c r="AP25" s="59"/>
      <c r="AQ25" s="64"/>
      <c r="AR25" s="31"/>
      <c r="AS25" s="31"/>
      <c r="AT25" s="31"/>
      <c r="AU25" s="31"/>
      <c r="AV25" s="31"/>
      <c r="AW25" s="31"/>
      <c r="AX25" s="31"/>
      <c r="AY25" s="64"/>
      <c r="AZ25" s="64"/>
      <c r="BA25" s="64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</row>
    <row r="26" spans="1:92" x14ac:dyDescent="0.2">
      <c r="A26" s="31"/>
      <c r="B26" s="67">
        <v>7</v>
      </c>
      <c r="C26" s="51">
        <v>1</v>
      </c>
      <c r="D26" s="37">
        <v>7</v>
      </c>
      <c r="E26" s="37">
        <v>7</v>
      </c>
      <c r="F26" s="37">
        <f t="shared" si="11"/>
        <v>0</v>
      </c>
      <c r="G26" s="37" cm="1">
        <f t="array" ref="G26">IF(E26&lt;=INDEX($B$4:$B$17,C26),1,0)</f>
        <v>0</v>
      </c>
      <c r="H26" s="120">
        <f t="shared" ca="1" si="13"/>
        <v>0</v>
      </c>
      <c r="I26" s="38">
        <f>IF(AND(sat_working=TRUE,E26=6),ROUNDDOWN(AVERAGE('Data for 2021'!I20:I24),0),'Data for 2021'!I25)</f>
        <v>0</v>
      </c>
      <c r="J26" s="80">
        <f t="shared" ca="1" si="16"/>
        <v>290</v>
      </c>
      <c r="K26" s="80">
        <f t="shared" ca="1" si="12"/>
        <v>290</v>
      </c>
      <c r="L26" s="55">
        <f t="shared" ca="1" si="14"/>
        <v>0</v>
      </c>
      <c r="M26" s="55" t="str">
        <f t="shared" ca="1" si="17"/>
        <v/>
      </c>
      <c r="N26" s="55"/>
      <c r="O26" s="51">
        <v>7</v>
      </c>
      <c r="P26" s="80">
        <f ca="1">AVERAGE(H104:H117)</f>
        <v>115.00906530077387</v>
      </c>
      <c r="Q26" s="80">
        <f t="shared" ref="Q26:T26" si="21">AVERAGE(I104:I117)</f>
        <v>122.78571428571429</v>
      </c>
      <c r="R26" s="80">
        <f t="shared" ca="1" si="21"/>
        <v>285.20112593168238</v>
      </c>
      <c r="S26" s="80">
        <f t="shared" ca="1" si="21"/>
        <v>292.97777491662288</v>
      </c>
      <c r="T26" s="93">
        <f t="shared" ca="1" si="21"/>
        <v>7.1428571428571425E-2</v>
      </c>
      <c r="U26" s="64"/>
      <c r="V26" s="64"/>
      <c r="W26" s="55">
        <v>7</v>
      </c>
      <c r="X26" s="80">
        <v>547.66138354671</v>
      </c>
      <c r="Y26" s="80">
        <v>47</v>
      </c>
      <c r="Z26" s="80">
        <v>1011.805516646303</v>
      </c>
      <c r="AA26" s="80">
        <v>239.70049533487111</v>
      </c>
      <c r="AB26" s="80">
        <v>964.80551664630298</v>
      </c>
      <c r="AC26" s="80">
        <v>733.01986995119273</v>
      </c>
      <c r="AD26" s="55">
        <v>1</v>
      </c>
      <c r="AE26" s="31"/>
      <c r="AF26" s="31"/>
      <c r="AG26" s="122"/>
      <c r="AH26" s="59"/>
      <c r="AI26" s="59">
        <v>7</v>
      </c>
      <c r="AJ26" s="44">
        <v>5</v>
      </c>
      <c r="AK26" s="59"/>
      <c r="AL26" s="59"/>
      <c r="AM26" s="59"/>
      <c r="AN26" s="59"/>
      <c r="AO26" s="59"/>
      <c r="AP26" s="59"/>
      <c r="AQ26" s="64"/>
      <c r="AR26" s="31"/>
      <c r="AS26" s="31"/>
      <c r="AT26" s="31"/>
      <c r="AU26" s="31"/>
      <c r="AV26" s="31"/>
      <c r="AW26" s="31"/>
      <c r="AX26" s="31"/>
      <c r="AY26" s="64"/>
      <c r="AZ26" s="64"/>
      <c r="BA26" s="64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</row>
    <row r="27" spans="1:92" x14ac:dyDescent="0.2">
      <c r="A27" s="31"/>
      <c r="B27" s="70">
        <v>8</v>
      </c>
      <c r="C27" s="51">
        <v>1</v>
      </c>
      <c r="D27" s="37">
        <v>8</v>
      </c>
      <c r="E27" s="35">
        <v>1</v>
      </c>
      <c r="F27" s="35">
        <f t="shared" si="11"/>
        <v>1</v>
      </c>
      <c r="G27" s="37" cm="1">
        <f t="array" ref="G27">IF(E27&lt;=INDEX($B$4:$B$17,C27),1,0)</f>
        <v>1</v>
      </c>
      <c r="H27" s="120">
        <f t="shared" ca="1" si="13"/>
        <v>160.66844614544391</v>
      </c>
      <c r="I27" s="38">
        <f>IF(AND(sat_working=TRUE,E27=6),ROUNDDOWN(AVERAGE('Data for 2021'!I21:I25),0),'Data for 2021'!I26)</f>
        <v>78</v>
      </c>
      <c r="J27" s="80">
        <f t="shared" ca="1" si="16"/>
        <v>290</v>
      </c>
      <c r="K27" s="80">
        <f t="shared" ca="1" si="12"/>
        <v>207.33155385455609</v>
      </c>
      <c r="L27" s="55">
        <f t="shared" ca="1" si="14"/>
        <v>0</v>
      </c>
      <c r="M27" s="55" t="str">
        <f t="shared" ca="1" si="17"/>
        <v/>
      </c>
      <c r="N27" s="55"/>
      <c r="O27" s="51">
        <v>8</v>
      </c>
      <c r="P27" s="80">
        <f ca="1">AVERAGE(H118:H131)</f>
        <v>115.72347232514473</v>
      </c>
      <c r="Q27" s="80">
        <f t="shared" ref="Q27:T27" si="22">AVERAGE(I118:I131)</f>
        <v>128.35714285714286</v>
      </c>
      <c r="R27" s="80">
        <f t="shared" ca="1" si="22"/>
        <v>529.58589109136267</v>
      </c>
      <c r="S27" s="80">
        <f t="shared" ca="1" si="22"/>
        <v>542.21956162336073</v>
      </c>
      <c r="T27" s="93">
        <f t="shared" ca="1" si="22"/>
        <v>0</v>
      </c>
      <c r="U27" s="64"/>
      <c r="V27" s="64"/>
      <c r="W27" s="55">
        <v>8</v>
      </c>
      <c r="X27" s="80">
        <v>468.3918497287151</v>
      </c>
      <c r="Y27" s="80">
        <v>47</v>
      </c>
      <c r="Z27" s="80">
        <v>962.05412009260453</v>
      </c>
      <c r="AA27" s="80">
        <v>243.51746485018703</v>
      </c>
      <c r="AB27" s="80">
        <v>915.05412009260453</v>
      </c>
      <c r="AC27" s="80">
        <v>651.87284148078595</v>
      </c>
      <c r="AD27" s="55">
        <v>8</v>
      </c>
      <c r="AE27" s="31"/>
      <c r="AF27" s="31"/>
      <c r="AG27" s="122"/>
      <c r="AH27" s="59"/>
      <c r="AI27" s="59">
        <v>8</v>
      </c>
      <c r="AJ27" s="44">
        <v>5</v>
      </c>
      <c r="AK27" s="59"/>
      <c r="AL27" s="59"/>
      <c r="AM27" s="59" t="s">
        <v>156</v>
      </c>
      <c r="AN27" s="59"/>
      <c r="AO27" s="59"/>
      <c r="AP27" s="59"/>
      <c r="AQ27" s="64"/>
      <c r="AR27" s="31"/>
      <c r="AS27" s="31"/>
      <c r="AT27" s="31"/>
      <c r="AU27" s="31"/>
      <c r="AV27" s="31"/>
      <c r="AW27" s="31"/>
      <c r="AX27" s="31"/>
      <c r="AY27" s="64"/>
      <c r="AZ27" s="64"/>
      <c r="BA27" s="64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</row>
    <row r="28" spans="1:92" x14ac:dyDescent="0.2">
      <c r="A28" s="31"/>
      <c r="B28" s="67">
        <v>9</v>
      </c>
      <c r="C28" s="51">
        <v>1</v>
      </c>
      <c r="D28" s="37">
        <v>9</v>
      </c>
      <c r="E28" s="37">
        <v>2</v>
      </c>
      <c r="F28" s="37">
        <f t="shared" si="11"/>
        <v>1</v>
      </c>
      <c r="G28" s="37" cm="1">
        <f t="array" ref="G28">IF(E28&lt;=INDEX($B$4:$B$17,C28),1,0)</f>
        <v>1</v>
      </c>
      <c r="H28" s="120">
        <f t="shared" ca="1" si="13"/>
        <v>179.3045503417824</v>
      </c>
      <c r="I28" s="38">
        <f>IF(AND(sat_working=TRUE,E28=6),ROUNDDOWN(AVERAGE('Data for 2021'!I22:I26),0),'Data for 2021'!I27)</f>
        <v>38</v>
      </c>
      <c r="J28" s="80">
        <f t="shared" ca="1" si="16"/>
        <v>207.33155385455609</v>
      </c>
      <c r="K28" s="80">
        <f t="shared" ca="1" si="12"/>
        <v>66.027003512773689</v>
      </c>
      <c r="L28" s="55">
        <f t="shared" ca="1" si="14"/>
        <v>0</v>
      </c>
      <c r="M28" s="55">
        <f t="shared" ca="1" si="17"/>
        <v>160.66844614544391</v>
      </c>
      <c r="N28" s="55"/>
      <c r="O28" s="51">
        <v>9</v>
      </c>
      <c r="P28" s="80">
        <f ca="1">AVERAGE(H132:H145)</f>
        <v>139.12393941960497</v>
      </c>
      <c r="Q28" s="80">
        <f t="shared" ref="Q28:T28" si="23">AVERAGE(I132:I145)</f>
        <v>135.14285714285714</v>
      </c>
      <c r="R28" s="80">
        <f t="shared" ca="1" si="23"/>
        <v>580.02601827964338</v>
      </c>
      <c r="S28" s="80">
        <f t="shared" ca="1" si="23"/>
        <v>576.04493600289561</v>
      </c>
      <c r="T28" s="93">
        <f t="shared" ca="1" si="23"/>
        <v>0</v>
      </c>
      <c r="U28" s="59"/>
      <c r="V28" s="59"/>
      <c r="W28" s="55">
        <v>9</v>
      </c>
      <c r="X28" s="81">
        <v>697.56987805635879</v>
      </c>
      <c r="Y28" s="80">
        <v>47</v>
      </c>
      <c r="Z28" s="80">
        <v>1306.5090283968443</v>
      </c>
      <c r="AA28" s="80">
        <v>322.31722913867947</v>
      </c>
      <c r="AB28" s="80">
        <v>1259.5090283968443</v>
      </c>
      <c r="AC28" s="80">
        <v>718.37625912625481</v>
      </c>
      <c r="AD28" s="55">
        <v>1</v>
      </c>
      <c r="AE28" s="31"/>
      <c r="AF28" s="31"/>
      <c r="AG28" s="122"/>
      <c r="AH28" s="59"/>
      <c r="AI28" s="59">
        <v>9</v>
      </c>
      <c r="AJ28" s="44">
        <v>6</v>
      </c>
      <c r="AK28" s="59"/>
      <c r="AL28" s="59"/>
      <c r="AM28" s="59"/>
      <c r="AN28" s="59"/>
      <c r="AO28" s="59"/>
      <c r="AP28" s="59"/>
      <c r="AQ28" s="64"/>
      <c r="AR28" s="31"/>
      <c r="AS28" s="31"/>
      <c r="AT28" s="31"/>
      <c r="AU28" s="31"/>
      <c r="AV28" s="31"/>
      <c r="AW28" s="31"/>
      <c r="AX28" s="31"/>
      <c r="AY28" s="64"/>
      <c r="AZ28" s="64"/>
      <c r="BA28" s="64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</row>
    <row r="29" spans="1:92" x14ac:dyDescent="0.2">
      <c r="A29" s="31"/>
      <c r="B29" s="70">
        <v>10</v>
      </c>
      <c r="C29" s="51">
        <v>1</v>
      </c>
      <c r="D29" s="37">
        <v>10</v>
      </c>
      <c r="E29" s="37">
        <v>3</v>
      </c>
      <c r="F29" s="37">
        <f t="shared" si="11"/>
        <v>1</v>
      </c>
      <c r="G29" s="37" cm="1">
        <f t="array" ref="G29">IF(E29&lt;=INDEX($B$4:$B$17,C29),1,0)</f>
        <v>0</v>
      </c>
      <c r="H29" s="120">
        <f t="shared" ca="1" si="13"/>
        <v>0</v>
      </c>
      <c r="I29" s="38">
        <f>IF(AND(sat_working=TRUE,E29=6),ROUNDDOWN(AVERAGE('Data for 2021'!I23:I27),0),'Data for 2021'!I28)</f>
        <v>61</v>
      </c>
      <c r="J29" s="80">
        <f t="shared" ca="1" si="16"/>
        <v>66.027003512773689</v>
      </c>
      <c r="K29" s="80">
        <f t="shared" ca="1" si="12"/>
        <v>127.02700351277369</v>
      </c>
      <c r="L29" s="55">
        <f t="shared" ca="1" si="14"/>
        <v>0</v>
      </c>
      <c r="M29" s="55">
        <f t="shared" ca="1" si="17"/>
        <v>179.3045503417824</v>
      </c>
      <c r="N29" s="55"/>
      <c r="O29" s="51">
        <v>10</v>
      </c>
      <c r="P29" s="80">
        <f ca="1">AVERAGE(H146:H159)</f>
        <v>112.82795796484062</v>
      </c>
      <c r="Q29" s="80">
        <f t="shared" ref="Q29:T29" si="24">AVERAGE(I146:I159)</f>
        <v>125.5</v>
      </c>
      <c r="R29" s="80">
        <f t="shared" ca="1" si="24"/>
        <v>572.68950811184652</v>
      </c>
      <c r="S29" s="80">
        <f t="shared" ca="1" si="24"/>
        <v>585.36155014700591</v>
      </c>
      <c r="T29" s="93">
        <f t="shared" ca="1" si="24"/>
        <v>0</v>
      </c>
      <c r="U29" s="59"/>
      <c r="V29" s="59"/>
      <c r="W29" s="55">
        <v>10</v>
      </c>
      <c r="X29" s="81">
        <v>639.79163860903918</v>
      </c>
      <c r="Y29" s="80">
        <v>47</v>
      </c>
      <c r="Z29" s="80">
        <v>1023.2967482781746</v>
      </c>
      <c r="AA29" s="80">
        <v>231.88196038215014</v>
      </c>
      <c r="AB29" s="80">
        <v>976.29674827817462</v>
      </c>
      <c r="AC29" s="80">
        <v>707.96675428059928</v>
      </c>
      <c r="AD29" s="55">
        <v>1</v>
      </c>
      <c r="AE29" s="31"/>
      <c r="AF29" s="31"/>
      <c r="AG29" s="122"/>
      <c r="AH29" s="59"/>
      <c r="AI29" s="59">
        <v>10</v>
      </c>
      <c r="AJ29" s="44">
        <v>5</v>
      </c>
      <c r="AK29" s="59"/>
      <c r="AL29" s="59"/>
      <c r="AM29" s="59"/>
      <c r="AN29" s="59"/>
      <c r="AO29" s="59"/>
      <c r="AP29" s="59"/>
      <c r="AQ29" s="64"/>
      <c r="AR29" s="31"/>
      <c r="AS29" s="31"/>
      <c r="AT29" s="31"/>
      <c r="AU29" s="31"/>
      <c r="AV29" s="31"/>
      <c r="AW29" s="31"/>
      <c r="AX29" s="31"/>
      <c r="AY29" s="64"/>
      <c r="AZ29" s="64"/>
      <c r="BA29" s="64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</row>
    <row r="30" spans="1:92" x14ac:dyDescent="0.2">
      <c r="A30" s="31"/>
      <c r="B30" s="67">
        <v>11</v>
      </c>
      <c r="C30" s="51">
        <v>1</v>
      </c>
      <c r="D30" s="37">
        <v>11</v>
      </c>
      <c r="E30" s="37">
        <v>4</v>
      </c>
      <c r="F30" s="37">
        <f t="shared" si="11"/>
        <v>1</v>
      </c>
      <c r="G30" s="37" cm="1">
        <f t="array" ref="G30">IF(E30&lt;=INDEX($B$4:$B$17,C30),1,0)</f>
        <v>0</v>
      </c>
      <c r="H30" s="120">
        <f t="shared" ca="1" si="13"/>
        <v>0</v>
      </c>
      <c r="I30" s="38">
        <f>IF(AND(sat_working=TRUE,E30=6),ROUNDDOWN(AVERAGE('Data for 2021'!I24:I28),0),'Data for 2021'!I29)</f>
        <v>66</v>
      </c>
      <c r="J30" s="80">
        <f t="shared" ca="1" si="16"/>
        <v>127.02700351277369</v>
      </c>
      <c r="K30" s="80">
        <f t="shared" ca="1" si="12"/>
        <v>193.02700351277369</v>
      </c>
      <c r="L30" s="55">
        <f t="shared" ca="1" si="14"/>
        <v>0</v>
      </c>
      <c r="M30" s="55" t="str">
        <f t="shared" ca="1" si="17"/>
        <v/>
      </c>
      <c r="N30" s="55"/>
      <c r="O30" s="51">
        <v>11</v>
      </c>
      <c r="P30" s="80">
        <f ca="1">AVERAGE(H160:H173)</f>
        <v>131.09505238602196</v>
      </c>
      <c r="Q30" s="80">
        <f t="shared" ref="Q30:T30" si="25">AVERAGE(I160:I173)</f>
        <v>146.57142857142858</v>
      </c>
      <c r="R30" s="80">
        <f t="shared" ca="1" si="25"/>
        <v>857.4701187302968</v>
      </c>
      <c r="S30" s="80">
        <f t="shared" ca="1" si="25"/>
        <v>872.94649491570351</v>
      </c>
      <c r="T30" s="93">
        <f t="shared" ca="1" si="25"/>
        <v>0</v>
      </c>
      <c r="U30" s="59"/>
      <c r="V30" s="59"/>
      <c r="W30" s="55">
        <v>11</v>
      </c>
      <c r="X30" s="81">
        <v>373.91304689365637</v>
      </c>
      <c r="Y30" s="80">
        <v>41.927934564657505</v>
      </c>
      <c r="Z30" s="80">
        <v>634.71604633011759</v>
      </c>
      <c r="AA30" s="80">
        <v>119.51283289317254</v>
      </c>
      <c r="AB30" s="80">
        <v>592.78811176546014</v>
      </c>
      <c r="AC30" s="80">
        <v>248.78269466769575</v>
      </c>
      <c r="AD30" s="55">
        <v>2</v>
      </c>
      <c r="AE30" s="31"/>
      <c r="AF30" s="31"/>
      <c r="AG30" s="122"/>
      <c r="AH30" s="59"/>
      <c r="AI30" s="59">
        <v>11</v>
      </c>
      <c r="AJ30" s="44">
        <v>6</v>
      </c>
      <c r="AK30" s="59"/>
      <c r="AL30" s="59"/>
      <c r="AM30" s="59"/>
      <c r="AN30" s="59"/>
      <c r="AO30" s="59"/>
      <c r="AP30" s="59"/>
      <c r="AQ30" s="64"/>
      <c r="AR30" s="31"/>
      <c r="AS30" s="31"/>
      <c r="AT30" s="31"/>
      <c r="AU30" s="31"/>
      <c r="AV30" s="31"/>
      <c r="AW30" s="31"/>
      <c r="AX30" s="31"/>
      <c r="AY30" s="64"/>
      <c r="AZ30" s="64"/>
      <c r="BA30" s="64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</row>
    <row r="31" spans="1:92" x14ac:dyDescent="0.2">
      <c r="A31" s="31"/>
      <c r="B31" s="70">
        <v>12</v>
      </c>
      <c r="C31" s="51">
        <v>1</v>
      </c>
      <c r="D31" s="37">
        <v>12</v>
      </c>
      <c r="E31" s="37">
        <v>5</v>
      </c>
      <c r="F31" s="37">
        <f t="shared" si="11"/>
        <v>1</v>
      </c>
      <c r="G31" s="37" cm="1">
        <f t="array" ref="G31">IF(E31&lt;=INDEX($B$4:$B$17,C31),1,0)</f>
        <v>0</v>
      </c>
      <c r="H31" s="120">
        <f t="shared" ca="1" si="13"/>
        <v>0</v>
      </c>
      <c r="I31" s="38">
        <f>IF(AND(sat_working=TRUE,E31=6),ROUNDDOWN(AVERAGE('Data for 2021'!I25:I29),0),'Data for 2021'!I30)</f>
        <v>76</v>
      </c>
      <c r="J31" s="80">
        <f t="shared" ca="1" si="16"/>
        <v>193.02700351277369</v>
      </c>
      <c r="K31" s="80">
        <f t="shared" ca="1" si="12"/>
        <v>269.02700351277372</v>
      </c>
      <c r="L31" s="55">
        <f t="shared" ca="1" si="14"/>
        <v>0</v>
      </c>
      <c r="M31" s="55" t="str">
        <f t="shared" ca="1" si="17"/>
        <v/>
      </c>
      <c r="N31" s="55"/>
      <c r="O31" s="51">
        <v>12</v>
      </c>
      <c r="P31" s="80">
        <f ca="1">AVERAGE(H174:H187)</f>
        <v>119.39745780218618</v>
      </c>
      <c r="Q31" s="80">
        <f t="shared" ref="Q31:T31" si="26">AVERAGE(I174:I187)</f>
        <v>118.78571428571429</v>
      </c>
      <c r="R31" s="80">
        <f t="shared" ca="1" si="26"/>
        <v>948.50056085255653</v>
      </c>
      <c r="S31" s="80">
        <f t="shared" ca="1" si="26"/>
        <v>947.8888173360848</v>
      </c>
      <c r="T31" s="93">
        <f t="shared" ca="1" si="26"/>
        <v>0</v>
      </c>
      <c r="U31" s="59"/>
      <c r="V31" s="59"/>
      <c r="W31" s="55">
        <v>12</v>
      </c>
      <c r="X31" s="81">
        <v>567.0883703835126</v>
      </c>
      <c r="Y31" s="80">
        <v>47</v>
      </c>
      <c r="Z31" s="80">
        <v>1013.4038142430699</v>
      </c>
      <c r="AA31" s="80">
        <v>266.08686486252907</v>
      </c>
      <c r="AB31" s="80">
        <v>966.40381424306986</v>
      </c>
      <c r="AC31" s="80">
        <v>821.88934769732441</v>
      </c>
      <c r="AD31" s="55">
        <v>2</v>
      </c>
      <c r="AE31" s="31"/>
      <c r="AF31" s="31"/>
      <c r="AG31" s="122"/>
      <c r="AH31" s="59"/>
      <c r="AI31" s="59">
        <v>12</v>
      </c>
      <c r="AJ31" s="62">
        <v>5</v>
      </c>
      <c r="AK31" s="59"/>
      <c r="AL31" s="59"/>
      <c r="AM31" s="59"/>
      <c r="AN31" s="59"/>
      <c r="AO31" s="59"/>
      <c r="AP31" s="59"/>
      <c r="AQ31" s="64"/>
      <c r="AR31" s="31"/>
      <c r="AS31" s="31"/>
      <c r="AT31" s="31"/>
      <c r="AU31" s="31"/>
      <c r="AV31" s="31"/>
      <c r="AW31" s="31"/>
      <c r="AX31" s="31"/>
      <c r="AY31" s="64"/>
      <c r="AZ31" s="64"/>
      <c r="BA31" s="64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</row>
    <row r="32" spans="1:92" x14ac:dyDescent="0.2">
      <c r="A32" s="31"/>
      <c r="B32" s="67">
        <v>13</v>
      </c>
      <c r="C32" s="51">
        <v>1</v>
      </c>
      <c r="D32" s="37">
        <v>13</v>
      </c>
      <c r="E32" s="37">
        <v>6</v>
      </c>
      <c r="F32" s="37">
        <f t="shared" si="11"/>
        <v>1</v>
      </c>
      <c r="G32" s="37" cm="1">
        <f t="array" ref="G32">IF(E32&lt;=INDEX($B$4:$B$17,C32),1,0)</f>
        <v>0</v>
      </c>
      <c r="H32" s="120">
        <f t="shared" ca="1" si="13"/>
        <v>0</v>
      </c>
      <c r="I32" s="38">
        <f>I25</f>
        <v>59</v>
      </c>
      <c r="J32" s="80">
        <f t="shared" ca="1" si="16"/>
        <v>269.02700351277372</v>
      </c>
      <c r="K32" s="80">
        <f t="shared" ca="1" si="12"/>
        <v>328.02700351277372</v>
      </c>
      <c r="L32" s="55">
        <f t="shared" ca="1" si="14"/>
        <v>0</v>
      </c>
      <c r="M32" s="55" t="str">
        <f t="shared" ca="1" si="17"/>
        <v/>
      </c>
      <c r="N32" s="55"/>
      <c r="O32" s="51">
        <v>13</v>
      </c>
      <c r="P32" s="80">
        <f ca="1">AVERAGE(H188:H201)</f>
        <v>125.96177499067541</v>
      </c>
      <c r="Q32" s="80">
        <f t="shared" ref="Q32:T32" si="27">AVERAGE(I188:I201)</f>
        <v>127.14285714285714</v>
      </c>
      <c r="R32" s="80">
        <f t="shared" ca="1" si="27"/>
        <v>1002.4643482330495</v>
      </c>
      <c r="S32" s="80">
        <f t="shared" ca="1" si="27"/>
        <v>1003.6454303852313</v>
      </c>
      <c r="T32" s="93">
        <f t="shared" ca="1" si="27"/>
        <v>0</v>
      </c>
      <c r="U32" s="59"/>
      <c r="V32" s="59"/>
      <c r="W32" s="55">
        <v>13</v>
      </c>
      <c r="X32" s="81">
        <v>798.43555854702811</v>
      </c>
      <c r="Y32" s="80">
        <v>47</v>
      </c>
      <c r="Z32" s="80">
        <v>1356.9980121035628</v>
      </c>
      <c r="AA32" s="80">
        <v>361.88476592010238</v>
      </c>
      <c r="AB32" s="80">
        <v>1309.9980121035628</v>
      </c>
      <c r="AC32" s="80">
        <v>1043.2182086611849</v>
      </c>
      <c r="AD32" s="55">
        <v>1</v>
      </c>
      <c r="AE32" s="31"/>
      <c r="AF32" s="31"/>
      <c r="AG32" s="122"/>
      <c r="AH32" s="59"/>
      <c r="AI32" s="59">
        <v>13</v>
      </c>
      <c r="AJ32" s="62">
        <v>6</v>
      </c>
      <c r="AK32" s="59"/>
      <c r="AL32" s="59"/>
      <c r="AM32" s="59"/>
      <c r="AN32" s="59"/>
      <c r="AO32" s="59"/>
      <c r="AP32" s="59"/>
      <c r="AQ32" s="64"/>
      <c r="AR32" s="31"/>
      <c r="AS32" s="31"/>
      <c r="AT32" s="31"/>
      <c r="AU32" s="31"/>
      <c r="AV32" s="31"/>
      <c r="AW32" s="31"/>
      <c r="AX32" s="31"/>
      <c r="AY32" s="64"/>
      <c r="AZ32" s="64"/>
      <c r="BA32" s="64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</row>
    <row r="33" spans="1:92" x14ac:dyDescent="0.2">
      <c r="A33" s="31"/>
      <c r="B33" s="70">
        <v>14</v>
      </c>
      <c r="C33" s="52">
        <v>1</v>
      </c>
      <c r="D33" s="39">
        <v>14</v>
      </c>
      <c r="E33" s="37">
        <v>7</v>
      </c>
      <c r="F33" s="37">
        <f t="shared" si="11"/>
        <v>0</v>
      </c>
      <c r="G33" s="37" cm="1">
        <f t="array" ref="G33">IF(E33&lt;=INDEX($B$4:$B$17,C33),1,0)</f>
        <v>0</v>
      </c>
      <c r="H33" s="120">
        <f t="shared" ca="1" si="13"/>
        <v>0</v>
      </c>
      <c r="I33" s="38">
        <f>IF(AND(sat_working=TRUE,E33=6),ROUNDDOWN(AVERAGE('Data for 2021'!I27:I31),0),'Data for 2021'!I32)</f>
        <v>0</v>
      </c>
      <c r="J33" s="80">
        <f t="shared" ca="1" si="16"/>
        <v>328.02700351277372</v>
      </c>
      <c r="K33" s="80">
        <f t="shared" ca="1" si="12"/>
        <v>328.02700351277372</v>
      </c>
      <c r="L33" s="55">
        <f t="shared" ca="1" si="14"/>
        <v>0</v>
      </c>
      <c r="M33" s="55" t="str">
        <f t="shared" ca="1" si="17"/>
        <v/>
      </c>
      <c r="N33" s="55"/>
      <c r="O33" s="52">
        <v>14</v>
      </c>
      <c r="P33" s="91">
        <f ca="1">AVERAGE(H202:H215)</f>
        <v>108.68553977861079</v>
      </c>
      <c r="Q33" s="91">
        <f t="shared" ref="Q33:T33" si="28">AVERAGE(I202:I215)</f>
        <v>102.21428571428571</v>
      </c>
      <c r="R33" s="91">
        <f t="shared" ca="1" si="28"/>
        <v>972.55592424060148</v>
      </c>
      <c r="S33" s="91">
        <f t="shared" ca="1" si="28"/>
        <v>966.08467017627652</v>
      </c>
      <c r="T33" s="94">
        <f t="shared" ca="1" si="28"/>
        <v>0</v>
      </c>
      <c r="U33" s="59"/>
      <c r="V33" s="59"/>
      <c r="W33" s="55">
        <v>14</v>
      </c>
      <c r="X33" s="81">
        <v>793.18547704668254</v>
      </c>
      <c r="Y33" s="80">
        <v>47</v>
      </c>
      <c r="Z33" s="80">
        <v>1379.1592506852987</v>
      </c>
      <c r="AA33" s="80">
        <v>350.41217093917464</v>
      </c>
      <c r="AB33" s="80">
        <v>1332.1592506852987</v>
      </c>
      <c r="AC33" s="80">
        <v>894.63816433448437</v>
      </c>
      <c r="AD33" s="55">
        <v>1</v>
      </c>
      <c r="AE33" s="31"/>
      <c r="AF33" s="31"/>
      <c r="AG33" s="122"/>
      <c r="AH33" s="59"/>
      <c r="AI33" s="59">
        <v>14</v>
      </c>
      <c r="AJ33" s="63">
        <v>5</v>
      </c>
      <c r="AK33" s="59"/>
      <c r="AL33" s="59"/>
      <c r="AM33" s="59"/>
      <c r="AN33" s="59"/>
      <c r="AO33" s="59"/>
      <c r="AP33" s="59"/>
      <c r="AQ33" s="64"/>
      <c r="AR33" s="31"/>
      <c r="AS33" s="31"/>
      <c r="AT33" s="31"/>
      <c r="AU33" s="31"/>
      <c r="AV33" s="31"/>
      <c r="AW33" s="31"/>
      <c r="AX33" s="31"/>
      <c r="AY33" s="64"/>
      <c r="AZ33" s="64"/>
      <c r="BA33" s="64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</row>
    <row r="34" spans="1:92" x14ac:dyDescent="0.2">
      <c r="A34" s="31" t="s">
        <v>99</v>
      </c>
      <c r="B34" s="67">
        <v>15</v>
      </c>
      <c r="C34" s="50">
        <v>2</v>
      </c>
      <c r="D34" s="53">
        <v>1</v>
      </c>
      <c r="E34" s="35">
        <v>1</v>
      </c>
      <c r="F34" s="35">
        <f t="shared" si="11"/>
        <v>1</v>
      </c>
      <c r="G34" s="35" cm="1">
        <f t="array" ref="G34">IF(E34&lt;=INDEX($B$4:$B$17,C34),1,0)</f>
        <v>1</v>
      </c>
      <c r="H34" s="120">
        <f t="shared" ca="1" si="13"/>
        <v>157.65831473882849</v>
      </c>
      <c r="I34" s="38">
        <f>IF(AND(sat_working=TRUE,E34=6),ROUNDDOWN(AVERAGE('Data for 2021'!I28:I32),0),'Data for 2021'!I33)</f>
        <v>98</v>
      </c>
      <c r="J34" s="80">
        <f t="shared" ca="1" si="16"/>
        <v>328.02700351277372</v>
      </c>
      <c r="K34" s="80">
        <f t="shared" ca="1" si="12"/>
        <v>268.36868877394522</v>
      </c>
      <c r="L34" s="55">
        <f t="shared" ca="1" si="14"/>
        <v>0</v>
      </c>
      <c r="M34" s="55" t="str">
        <f t="shared" ca="1" si="17"/>
        <v/>
      </c>
      <c r="N34" s="55"/>
      <c r="O34" s="31"/>
      <c r="P34" s="31"/>
      <c r="Q34" s="31"/>
      <c r="R34" s="31"/>
      <c r="S34" s="31"/>
      <c r="T34" s="31"/>
      <c r="U34" s="59"/>
      <c r="V34" s="59"/>
      <c r="W34" s="55">
        <v>15</v>
      </c>
      <c r="X34" s="81">
        <v>423.78629936051169</v>
      </c>
      <c r="Y34" s="80">
        <v>47</v>
      </c>
      <c r="Z34" s="80">
        <v>827.41381569812438</v>
      </c>
      <c r="AA34" s="80">
        <v>152.71561189913908</v>
      </c>
      <c r="AB34" s="80">
        <v>780.41381569812438</v>
      </c>
      <c r="AC34" s="80">
        <v>424.34357773578313</v>
      </c>
      <c r="AD34" s="55">
        <v>2</v>
      </c>
      <c r="AE34" s="31"/>
      <c r="AF34" s="31"/>
      <c r="AG34" s="31"/>
      <c r="AH34" s="31"/>
      <c r="AI34" s="31" t="s">
        <v>102</v>
      </c>
      <c r="AJ34" s="121">
        <f>SUM(AJ20:AJ33)</f>
        <v>67</v>
      </c>
      <c r="AK34" s="31"/>
      <c r="AL34" s="31"/>
      <c r="AM34" s="31"/>
      <c r="AN34" s="59"/>
      <c r="AO34" s="59"/>
      <c r="AP34" s="59"/>
      <c r="AQ34" s="64"/>
      <c r="AR34" s="31"/>
      <c r="AS34" s="31"/>
      <c r="AT34" s="31"/>
      <c r="AU34" s="31"/>
      <c r="AV34" s="31"/>
      <c r="AW34" s="31"/>
      <c r="AX34" s="31"/>
      <c r="AY34" s="64"/>
      <c r="AZ34" s="64"/>
      <c r="BA34" s="64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</row>
    <row r="35" spans="1:92" x14ac:dyDescent="0.2">
      <c r="A35" s="31"/>
      <c r="B35" s="70">
        <v>16</v>
      </c>
      <c r="C35" s="51">
        <v>2</v>
      </c>
      <c r="D35" s="55">
        <v>2</v>
      </c>
      <c r="E35" s="37">
        <v>2</v>
      </c>
      <c r="F35" s="37">
        <f t="shared" si="11"/>
        <v>1</v>
      </c>
      <c r="G35" s="37" cm="1">
        <f t="array" ref="G35">IF(E35&lt;=INDEX($B$4:$B$17,C35),1,0)</f>
        <v>1</v>
      </c>
      <c r="H35" s="120">
        <f t="shared" ca="1" si="13"/>
        <v>169.08011013327641</v>
      </c>
      <c r="I35" s="38">
        <f>IF(AND(sat_working=TRUE,E35=6),ROUNDDOWN(AVERAGE('Data for 2021'!I29:I33),0),'Data for 2021'!I34)</f>
        <v>90</v>
      </c>
      <c r="J35" s="80">
        <f t="shared" ca="1" si="16"/>
        <v>268.36868877394522</v>
      </c>
      <c r="K35" s="80">
        <f t="shared" ca="1" si="12"/>
        <v>189.28857864066882</v>
      </c>
      <c r="L35" s="55">
        <f t="shared" ca="1" si="14"/>
        <v>0</v>
      </c>
      <c r="M35" s="55">
        <f t="shared" ca="1" si="17"/>
        <v>157.65831473882849</v>
      </c>
      <c r="N35" s="55"/>
      <c r="O35" s="31"/>
      <c r="P35" s="31"/>
      <c r="Q35" s="31"/>
      <c r="R35" s="31"/>
      <c r="S35" s="31"/>
      <c r="T35" s="31"/>
      <c r="U35" s="59"/>
      <c r="V35" s="59"/>
      <c r="W35" s="55">
        <v>16</v>
      </c>
      <c r="X35" s="81">
        <v>736.65622835521503</v>
      </c>
      <c r="Y35" s="80">
        <v>38</v>
      </c>
      <c r="Z35" s="80">
        <v>1395.6606342918922</v>
      </c>
      <c r="AA35" s="80">
        <v>400.3685946138512</v>
      </c>
      <c r="AB35" s="80">
        <v>1357.6606342918922</v>
      </c>
      <c r="AC35" s="80">
        <v>1096.2521126018528</v>
      </c>
      <c r="AD35" s="55">
        <v>2</v>
      </c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64"/>
      <c r="AZ35" s="64"/>
      <c r="BA35" s="64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</row>
    <row r="36" spans="1:92" x14ac:dyDescent="0.2">
      <c r="A36" s="31"/>
      <c r="B36" s="67">
        <v>17</v>
      </c>
      <c r="C36" s="51">
        <v>2</v>
      </c>
      <c r="D36" s="55">
        <v>3</v>
      </c>
      <c r="E36" s="37">
        <v>3</v>
      </c>
      <c r="F36" s="37">
        <f t="shared" si="11"/>
        <v>1</v>
      </c>
      <c r="G36" s="37" cm="1">
        <f t="array" ref="G36">IF(E36&lt;=INDEX($B$4:$B$17,C36),1,0)</f>
        <v>1</v>
      </c>
      <c r="H36" s="120">
        <f t="shared" ca="1" si="13"/>
        <v>170.01978250140922</v>
      </c>
      <c r="I36" s="38">
        <f>IF(AND(sat_working=TRUE,E36=6),ROUNDDOWN(AVERAGE('Data for 2021'!I30:I34),0),'Data for 2021'!I35)</f>
        <v>97</v>
      </c>
      <c r="J36" s="80">
        <f t="shared" ca="1" si="16"/>
        <v>189.28857864066882</v>
      </c>
      <c r="K36" s="80">
        <f t="shared" ca="1" si="12"/>
        <v>116.26879613925956</v>
      </c>
      <c r="L36" s="55">
        <f t="shared" ca="1" si="14"/>
        <v>0</v>
      </c>
      <c r="M36" s="55">
        <f t="shared" ca="1" si="17"/>
        <v>169.08011013327641</v>
      </c>
      <c r="N36" s="55"/>
      <c r="O36" s="31"/>
      <c r="P36" s="31"/>
      <c r="Q36" s="31"/>
      <c r="R36" s="31"/>
      <c r="S36" s="31"/>
      <c r="T36" s="31"/>
      <c r="U36" s="59"/>
      <c r="V36" s="59"/>
      <c r="W36" s="55">
        <v>17</v>
      </c>
      <c r="X36" s="81">
        <v>665.40010252397826</v>
      </c>
      <c r="Y36" s="80">
        <v>47</v>
      </c>
      <c r="Z36" s="80">
        <v>1096.3919939613706</v>
      </c>
      <c r="AA36" s="80">
        <v>256.4661967993747</v>
      </c>
      <c r="AB36" s="80">
        <v>1049.3919939613706</v>
      </c>
      <c r="AC36" s="80">
        <v>809.63899000671177</v>
      </c>
      <c r="AD36" s="55">
        <v>1</v>
      </c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64"/>
      <c r="AZ36" s="64"/>
      <c r="BA36" s="64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</row>
    <row r="37" spans="1:92" x14ac:dyDescent="0.2">
      <c r="A37" s="31"/>
      <c r="B37" s="70">
        <v>18</v>
      </c>
      <c r="C37" s="51">
        <v>2</v>
      </c>
      <c r="D37" s="55">
        <v>4</v>
      </c>
      <c r="E37" s="37">
        <v>4</v>
      </c>
      <c r="F37" s="37">
        <f t="shared" si="11"/>
        <v>1</v>
      </c>
      <c r="G37" s="37" cm="1">
        <f t="array" ref="G37">IF(E37&lt;=INDEX($B$4:$B$17,C37),1,0)</f>
        <v>0</v>
      </c>
      <c r="H37" s="120">
        <f t="shared" ca="1" si="13"/>
        <v>0</v>
      </c>
      <c r="I37" s="38">
        <f>IF(AND(sat_working=TRUE,E37=6),ROUNDDOWN(AVERAGE('Data for 2021'!I31:I35),0),'Data for 2021'!I36)</f>
        <v>110</v>
      </c>
      <c r="J37" s="80">
        <f t="shared" ca="1" si="16"/>
        <v>116.26879613925956</v>
      </c>
      <c r="K37" s="80">
        <f t="shared" ca="1" si="12"/>
        <v>226.26879613925956</v>
      </c>
      <c r="L37" s="55">
        <f t="shared" ca="1" si="14"/>
        <v>0</v>
      </c>
      <c r="M37" s="55">
        <f t="shared" ca="1" si="17"/>
        <v>170.01978250140922</v>
      </c>
      <c r="N37" s="55"/>
      <c r="O37" s="31"/>
      <c r="P37" s="31"/>
      <c r="Q37" s="31"/>
      <c r="R37" s="31"/>
      <c r="S37" s="31"/>
      <c r="T37" s="31"/>
      <c r="U37" s="59"/>
      <c r="V37" s="59"/>
      <c r="W37" s="55">
        <v>18</v>
      </c>
      <c r="X37" s="81">
        <v>679.21063620891061</v>
      </c>
      <c r="Y37" s="80">
        <v>47</v>
      </c>
      <c r="Z37" s="80">
        <v>1287.7385177542847</v>
      </c>
      <c r="AA37" s="80">
        <v>342.56014781270596</v>
      </c>
      <c r="AB37" s="80">
        <v>1240.7385177542847</v>
      </c>
      <c r="AC37" s="80">
        <v>904.63761676964134</v>
      </c>
      <c r="AD37" s="55">
        <v>1</v>
      </c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64"/>
      <c r="AZ37" s="64"/>
      <c r="BA37" s="64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</row>
    <row r="38" spans="1:92" x14ac:dyDescent="0.2">
      <c r="A38" s="31"/>
      <c r="B38" s="67">
        <v>19</v>
      </c>
      <c r="C38" s="51">
        <v>2</v>
      </c>
      <c r="D38" s="55">
        <v>5</v>
      </c>
      <c r="E38" s="37">
        <v>5</v>
      </c>
      <c r="F38" s="37">
        <f t="shared" si="11"/>
        <v>1</v>
      </c>
      <c r="G38" s="37" cm="1">
        <f t="array" ref="G38">IF(E38&lt;=INDEX($B$4:$B$17,C38),1,0)</f>
        <v>0</v>
      </c>
      <c r="H38" s="120">
        <f t="shared" ca="1" si="13"/>
        <v>0</v>
      </c>
      <c r="I38" s="38">
        <f>IF(AND(sat_working=TRUE,E38=6),ROUNDDOWN(AVERAGE('Data for 2021'!I32:I36),0),'Data for 2021'!I37)</f>
        <v>87</v>
      </c>
      <c r="J38" s="80">
        <f t="shared" ca="1" si="16"/>
        <v>226.26879613925956</v>
      </c>
      <c r="K38" s="80">
        <f t="shared" ca="1" si="12"/>
        <v>313.26879613925956</v>
      </c>
      <c r="L38" s="55">
        <f t="shared" ca="1" si="14"/>
        <v>0</v>
      </c>
      <c r="M38" s="55" t="str">
        <f t="shared" ca="1" si="17"/>
        <v/>
      </c>
      <c r="N38" s="55"/>
      <c r="O38" s="31"/>
      <c r="P38" s="31"/>
      <c r="Q38" s="31"/>
      <c r="R38" s="31"/>
      <c r="S38" s="31"/>
      <c r="T38" s="31"/>
      <c r="U38" s="59"/>
      <c r="V38" s="59"/>
      <c r="W38" s="55">
        <v>19</v>
      </c>
      <c r="X38" s="81">
        <v>699.76779506626133</v>
      </c>
      <c r="Y38" s="80">
        <v>47</v>
      </c>
      <c r="Z38" s="80">
        <v>1080.2968000190747</v>
      </c>
      <c r="AA38" s="80">
        <v>250.84874863745753</v>
      </c>
      <c r="AB38" s="80">
        <v>1033.2968000190747</v>
      </c>
      <c r="AC38" s="80">
        <v>770.02293734144928</v>
      </c>
      <c r="AD38" s="55">
        <v>1</v>
      </c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64"/>
      <c r="AZ38" s="64"/>
      <c r="BA38" s="64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</row>
    <row r="39" spans="1:92" x14ac:dyDescent="0.2">
      <c r="A39" s="31"/>
      <c r="B39" s="70">
        <v>20</v>
      </c>
      <c r="C39" s="51">
        <v>2</v>
      </c>
      <c r="D39" s="55">
        <v>6</v>
      </c>
      <c r="E39" s="37">
        <v>6</v>
      </c>
      <c r="F39" s="37">
        <f t="shared" si="11"/>
        <v>1</v>
      </c>
      <c r="G39" s="37" cm="1">
        <f t="array" ref="G39">IF(E39&lt;=INDEX($B$4:$B$17,C39),1,0)</f>
        <v>0</v>
      </c>
      <c r="H39" s="120">
        <f t="shared" ca="1" si="13"/>
        <v>0</v>
      </c>
      <c r="I39" s="38">
        <f>IF(AND(sat_working=TRUE,E39=6),ROUNDDOWN(AVERAGE('Data for 2021'!I33:I37,'Data for 2021'!I40:I44),0),'Data for 2021'!I38)</f>
        <v>94</v>
      </c>
      <c r="J39" s="80">
        <f t="shared" ca="1" si="16"/>
        <v>313.26879613925956</v>
      </c>
      <c r="K39" s="80">
        <f t="shared" ca="1" si="12"/>
        <v>407.26879613925956</v>
      </c>
      <c r="L39" s="55">
        <f t="shared" ca="1" si="14"/>
        <v>0</v>
      </c>
      <c r="M39" s="55" t="str">
        <f t="shared" ca="1" si="17"/>
        <v/>
      </c>
      <c r="N39" s="55"/>
      <c r="O39" s="31"/>
      <c r="P39" s="31"/>
      <c r="Q39" s="31"/>
      <c r="R39" s="31"/>
      <c r="S39" s="31"/>
      <c r="T39" s="31"/>
      <c r="U39" s="59"/>
      <c r="V39" s="59"/>
      <c r="W39" s="55">
        <v>20</v>
      </c>
      <c r="X39" s="81">
        <v>597.55173862945833</v>
      </c>
      <c r="Y39" s="80">
        <v>47</v>
      </c>
      <c r="Z39" s="80">
        <v>1144.6800907057409</v>
      </c>
      <c r="AA39" s="80">
        <v>287.02527588246801</v>
      </c>
      <c r="AB39" s="80">
        <v>1097.6800907057409</v>
      </c>
      <c r="AC39" s="80">
        <v>742.10908958318419</v>
      </c>
      <c r="AD39" s="55">
        <v>2</v>
      </c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64"/>
      <c r="AZ39" s="64"/>
      <c r="BA39" s="64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</row>
    <row r="40" spans="1:92" x14ac:dyDescent="0.2">
      <c r="A40" s="31"/>
      <c r="B40" s="67">
        <v>21</v>
      </c>
      <c r="C40" s="51">
        <v>2</v>
      </c>
      <c r="D40" s="55">
        <v>7</v>
      </c>
      <c r="E40" s="37">
        <v>7</v>
      </c>
      <c r="F40" s="37">
        <f t="shared" si="11"/>
        <v>0</v>
      </c>
      <c r="G40" s="37" cm="1">
        <f t="array" ref="G40">IF(E40&lt;=INDEX($B$4:$B$17,C40),1,0)</f>
        <v>0</v>
      </c>
      <c r="H40" s="120">
        <f t="shared" ca="1" si="13"/>
        <v>0</v>
      </c>
      <c r="I40" s="38">
        <f>IF(AND(sat_working=TRUE,E40=6),ROUNDDOWN(AVERAGE('Data for 2021'!I34:I38),0),'Data for 2021'!I39)</f>
        <v>0</v>
      </c>
      <c r="J40" s="80">
        <f t="shared" ca="1" si="16"/>
        <v>407.26879613925956</v>
      </c>
      <c r="K40" s="80">
        <f t="shared" ca="1" si="12"/>
        <v>407.26879613925956</v>
      </c>
      <c r="L40" s="55">
        <f t="shared" ca="1" si="14"/>
        <v>0</v>
      </c>
      <c r="M40" s="55" t="str">
        <f t="shared" ca="1" si="17"/>
        <v/>
      </c>
      <c r="N40" s="55"/>
      <c r="O40" s="31"/>
      <c r="P40" s="31"/>
      <c r="Q40" s="31"/>
      <c r="R40" s="31"/>
      <c r="S40" s="31"/>
      <c r="T40" s="31"/>
      <c r="U40" s="59"/>
      <c r="V40" s="59"/>
      <c r="W40" s="55">
        <v>21</v>
      </c>
      <c r="X40" s="81">
        <v>467.07005196192597</v>
      </c>
      <c r="Y40" s="80">
        <v>47</v>
      </c>
      <c r="Z40" s="80">
        <v>740.89410269381801</v>
      </c>
      <c r="AA40" s="80">
        <v>169.42920057056673</v>
      </c>
      <c r="AB40" s="80">
        <v>693.89410269381801</v>
      </c>
      <c r="AC40" s="80">
        <v>221.71845768374942</v>
      </c>
      <c r="AD40" s="55">
        <v>2</v>
      </c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64"/>
      <c r="AZ40" s="64"/>
      <c r="BA40" s="64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</row>
    <row r="41" spans="1:92" x14ac:dyDescent="0.2">
      <c r="A41" s="31"/>
      <c r="B41" s="70">
        <v>22</v>
      </c>
      <c r="C41" s="51">
        <v>2</v>
      </c>
      <c r="D41" s="55">
        <v>8</v>
      </c>
      <c r="E41" s="35">
        <v>1</v>
      </c>
      <c r="F41" s="35">
        <f t="shared" si="11"/>
        <v>1</v>
      </c>
      <c r="G41" s="37" cm="1">
        <f t="array" ref="G41">IF(E41&lt;=INDEX($B$4:$B$17,C41),1,0)</f>
        <v>1</v>
      </c>
      <c r="H41" s="120">
        <f t="shared" ca="1" si="13"/>
        <v>189.79288016289811</v>
      </c>
      <c r="I41" s="38">
        <f>IF(AND(sat_working=TRUE,E41=6),ROUNDDOWN(AVERAGE('Data for 2021'!I35:I39),0),'Data for 2021'!I40)</f>
        <v>77</v>
      </c>
      <c r="J41" s="80">
        <f t="shared" ca="1" si="16"/>
        <v>407.26879613925956</v>
      </c>
      <c r="K41" s="80">
        <f t="shared" ca="1" si="12"/>
        <v>294.47591597636142</v>
      </c>
      <c r="L41" s="55">
        <f t="shared" ca="1" si="14"/>
        <v>0</v>
      </c>
      <c r="M41" s="55" t="str">
        <f t="shared" ca="1" si="17"/>
        <v/>
      </c>
      <c r="N41" s="55"/>
      <c r="O41" s="31"/>
      <c r="P41" s="31"/>
      <c r="Q41" s="31"/>
      <c r="R41" s="31"/>
      <c r="S41" s="31"/>
      <c r="T41" s="31"/>
      <c r="U41" s="59"/>
      <c r="V41" s="59"/>
      <c r="W41" s="55">
        <v>22</v>
      </c>
      <c r="X41" s="81">
        <v>508.20270699304888</v>
      </c>
      <c r="Y41" s="80">
        <v>47</v>
      </c>
      <c r="Z41" s="80">
        <v>1022.5963522958607</v>
      </c>
      <c r="AA41" s="80">
        <v>238.03975075125902</v>
      </c>
      <c r="AB41" s="80">
        <v>975.5963522958607</v>
      </c>
      <c r="AC41" s="80">
        <v>404.11364167828356</v>
      </c>
      <c r="AD41" s="55">
        <v>3</v>
      </c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64"/>
      <c r="AZ41" s="64"/>
      <c r="BA41" s="64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</row>
    <row r="42" spans="1:92" x14ac:dyDescent="0.2">
      <c r="A42" s="31"/>
      <c r="B42" s="67">
        <v>23</v>
      </c>
      <c r="C42" s="51">
        <v>2</v>
      </c>
      <c r="D42" s="55">
        <v>9</v>
      </c>
      <c r="E42" s="37">
        <v>2</v>
      </c>
      <c r="F42" s="37">
        <f t="shared" si="11"/>
        <v>1</v>
      </c>
      <c r="G42" s="37" cm="1">
        <f t="array" ref="G42">IF(E42&lt;=INDEX($B$4:$B$17,C42),1,0)</f>
        <v>1</v>
      </c>
      <c r="H42" s="120">
        <f t="shared" ca="1" si="13"/>
        <v>143.50361698229261</v>
      </c>
      <c r="I42" s="38">
        <f>IF(AND(sat_working=TRUE,E42=6),ROUNDDOWN(AVERAGE('Data for 2021'!I36:I40),0),'Data for 2021'!I41)</f>
        <v>92</v>
      </c>
      <c r="J42" s="80">
        <f t="shared" ca="1" si="16"/>
        <v>294.47591597636142</v>
      </c>
      <c r="K42" s="80">
        <f t="shared" ca="1" si="12"/>
        <v>242.97229899406881</v>
      </c>
      <c r="L42" s="55">
        <f t="shared" ca="1" si="14"/>
        <v>0</v>
      </c>
      <c r="M42" s="55">
        <f t="shared" ca="1" si="17"/>
        <v>189.79288016289811</v>
      </c>
      <c r="N42" s="55"/>
      <c r="O42" s="31"/>
      <c r="P42" s="31"/>
      <c r="Q42" s="31"/>
      <c r="R42" s="31"/>
      <c r="S42" s="31"/>
      <c r="T42" s="31"/>
      <c r="U42" s="59"/>
      <c r="V42" s="59"/>
      <c r="W42" s="55">
        <v>23</v>
      </c>
      <c r="X42" s="81">
        <v>356.78819744187808</v>
      </c>
      <c r="Y42" s="80">
        <v>47</v>
      </c>
      <c r="Z42" s="80">
        <v>600.29212281486843</v>
      </c>
      <c r="AA42" s="80">
        <v>136.56852505904703</v>
      </c>
      <c r="AB42" s="80">
        <v>553.29212281486843</v>
      </c>
      <c r="AC42" s="80">
        <v>325.04526129978512</v>
      </c>
      <c r="AD42" s="55">
        <v>5</v>
      </c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64"/>
      <c r="AZ42" s="64"/>
      <c r="BA42" s="64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</row>
    <row r="43" spans="1:92" x14ac:dyDescent="0.2">
      <c r="A43" s="31"/>
      <c r="B43" s="70">
        <v>24</v>
      </c>
      <c r="C43" s="51">
        <v>2</v>
      </c>
      <c r="D43" s="55">
        <v>10</v>
      </c>
      <c r="E43" s="37">
        <v>3</v>
      </c>
      <c r="F43" s="37">
        <f t="shared" si="11"/>
        <v>1</v>
      </c>
      <c r="G43" s="37" cm="1">
        <f t="array" ref="G43">IF(E43&lt;=INDEX($B$4:$B$17,C43),1,0)</f>
        <v>1</v>
      </c>
      <c r="H43" s="120">
        <f t="shared" ca="1" si="13"/>
        <v>185.37314110145445</v>
      </c>
      <c r="I43" s="38">
        <f>IF(AND(sat_working=TRUE,E43=6),ROUNDDOWN(AVERAGE('Data for 2021'!I37:I41),0),'Data for 2021'!I42)</f>
        <v>90</v>
      </c>
      <c r="J43" s="80">
        <f t="shared" ca="1" si="16"/>
        <v>242.97229899406881</v>
      </c>
      <c r="K43" s="80">
        <f t="shared" ca="1" si="12"/>
        <v>147.59915789261436</v>
      </c>
      <c r="L43" s="55">
        <f t="shared" ca="1" si="14"/>
        <v>0</v>
      </c>
      <c r="M43" s="55">
        <f t="shared" ca="1" si="17"/>
        <v>143.50361698229261</v>
      </c>
      <c r="N43" s="55"/>
      <c r="O43" s="31"/>
      <c r="P43" s="31"/>
      <c r="Q43" s="31"/>
      <c r="R43" s="31"/>
      <c r="S43" s="31"/>
      <c r="T43" s="31"/>
      <c r="U43" s="59"/>
      <c r="V43" s="59"/>
      <c r="W43" s="55">
        <v>24</v>
      </c>
      <c r="X43" s="81">
        <v>448.17190402675089</v>
      </c>
      <c r="Y43" s="80">
        <v>38</v>
      </c>
      <c r="Z43" s="80">
        <v>877.09713556515726</v>
      </c>
      <c r="AA43" s="80">
        <v>212.50349012065928</v>
      </c>
      <c r="AB43" s="80">
        <v>839.09713556515726</v>
      </c>
      <c r="AC43" s="80">
        <v>317.77546656930861</v>
      </c>
      <c r="AD43" s="55">
        <v>8</v>
      </c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64"/>
      <c r="AZ43" s="64"/>
      <c r="BA43" s="64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</row>
    <row r="44" spans="1:92" x14ac:dyDescent="0.2">
      <c r="A44" s="31"/>
      <c r="B44" s="67">
        <v>25</v>
      </c>
      <c r="C44" s="51">
        <v>2</v>
      </c>
      <c r="D44" s="55">
        <v>11</v>
      </c>
      <c r="E44" s="37">
        <v>4</v>
      </c>
      <c r="F44" s="37">
        <f t="shared" si="11"/>
        <v>1</v>
      </c>
      <c r="G44" s="37" cm="1">
        <f t="array" ref="G44">IF(E44&lt;=INDEX($B$4:$B$17,C44),1,0)</f>
        <v>0</v>
      </c>
      <c r="H44" s="120">
        <f t="shared" ca="1" si="13"/>
        <v>0</v>
      </c>
      <c r="I44" s="38">
        <f>IF(AND(sat_working=TRUE,E44=6),ROUNDDOWN(AVERAGE('Data for 2021'!I38:I42),0),'Data for 2021'!I43)</f>
        <v>97</v>
      </c>
      <c r="J44" s="80">
        <f t="shared" ca="1" si="16"/>
        <v>147.59915789261436</v>
      </c>
      <c r="K44" s="80">
        <f t="shared" ca="1" si="12"/>
        <v>244.59915789261436</v>
      </c>
      <c r="L44" s="55">
        <f t="shared" ca="1" si="14"/>
        <v>0</v>
      </c>
      <c r="M44" s="55">
        <f t="shared" ca="1" si="17"/>
        <v>185.37314110145445</v>
      </c>
      <c r="N44" s="55"/>
      <c r="O44" s="31"/>
      <c r="P44" s="31"/>
      <c r="Q44" s="31"/>
      <c r="R44" s="31"/>
      <c r="S44" s="31"/>
      <c r="T44" s="31"/>
      <c r="U44" s="64"/>
      <c r="V44" s="64"/>
      <c r="W44" s="55">
        <v>25</v>
      </c>
      <c r="X44" s="80">
        <v>428.18305915076559</v>
      </c>
      <c r="Y44" s="80">
        <v>38</v>
      </c>
      <c r="Z44" s="80">
        <v>658.67402026497609</v>
      </c>
      <c r="AA44" s="80">
        <v>124.34828581527951</v>
      </c>
      <c r="AB44" s="80">
        <v>620.67402026497609</v>
      </c>
      <c r="AC44" s="80">
        <v>297.9591381677634</v>
      </c>
      <c r="AD44" s="55">
        <v>2</v>
      </c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U44" s="59"/>
      <c r="BV44" s="59"/>
      <c r="BW44" s="59"/>
      <c r="BX44" s="59"/>
      <c r="BY44" s="59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</row>
    <row r="45" spans="1:92" x14ac:dyDescent="0.2">
      <c r="A45" s="31"/>
      <c r="B45" s="70">
        <v>26</v>
      </c>
      <c r="C45" s="51">
        <v>2</v>
      </c>
      <c r="D45" s="55">
        <v>12</v>
      </c>
      <c r="E45" s="37">
        <v>5</v>
      </c>
      <c r="F45" s="37">
        <f t="shared" si="11"/>
        <v>1</v>
      </c>
      <c r="G45" s="37" cm="1">
        <f t="array" ref="G45">IF(E45&lt;=INDEX($B$4:$B$17,C45),1,0)</f>
        <v>0</v>
      </c>
      <c r="H45" s="120">
        <f t="shared" ca="1" si="13"/>
        <v>0</v>
      </c>
      <c r="I45" s="38">
        <f>IF(AND(sat_working=TRUE,E45=6),ROUNDDOWN(AVERAGE('Data for 2021'!I39:I43),0),'Data for 2021'!I44)</f>
        <v>102</v>
      </c>
      <c r="J45" s="80">
        <f t="shared" ca="1" si="16"/>
        <v>244.59915789261436</v>
      </c>
      <c r="K45" s="80">
        <f t="shared" ca="1" si="12"/>
        <v>346.59915789261436</v>
      </c>
      <c r="L45" s="55">
        <f t="shared" ca="1" si="14"/>
        <v>0</v>
      </c>
      <c r="M45" s="55" t="str">
        <f t="shared" ca="1" si="17"/>
        <v/>
      </c>
      <c r="N45" s="55"/>
      <c r="O45" s="31"/>
      <c r="P45" s="31"/>
      <c r="Q45" s="31"/>
      <c r="R45" s="31"/>
      <c r="S45" s="31"/>
      <c r="T45" s="31"/>
      <c r="U45" s="31"/>
      <c r="V45" s="31"/>
      <c r="W45" s="55">
        <v>26</v>
      </c>
      <c r="X45" s="80">
        <v>891.29074825393764</v>
      </c>
      <c r="Y45" s="80">
        <v>47</v>
      </c>
      <c r="Z45" s="80">
        <v>1494.4020974432965</v>
      </c>
      <c r="AA45" s="80">
        <v>381.00764838674615</v>
      </c>
      <c r="AB45" s="80">
        <v>1447.4020974432965</v>
      </c>
      <c r="AC45" s="80">
        <v>1278.3722417871925</v>
      </c>
      <c r="AD45" s="55">
        <v>1</v>
      </c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U45" s="59"/>
      <c r="BV45" s="59"/>
      <c r="BW45" s="59"/>
      <c r="BX45" s="59"/>
      <c r="BY45" s="59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</row>
    <row r="46" spans="1:92" x14ac:dyDescent="0.2">
      <c r="A46" s="31"/>
      <c r="B46" s="67">
        <v>27</v>
      </c>
      <c r="C46" s="51">
        <v>2</v>
      </c>
      <c r="D46" s="55">
        <v>13</v>
      </c>
      <c r="E46" s="37">
        <v>6</v>
      </c>
      <c r="F46" s="37">
        <f t="shared" si="11"/>
        <v>1</v>
      </c>
      <c r="G46" s="37" cm="1">
        <f t="array" ref="G46">IF(E46&lt;=INDEX($B$4:$B$17,C46),1,0)</f>
        <v>0</v>
      </c>
      <c r="H46" s="120">
        <f t="shared" ca="1" si="13"/>
        <v>0</v>
      </c>
      <c r="I46" s="38">
        <f>I39</f>
        <v>94</v>
      </c>
      <c r="J46" s="80">
        <f t="shared" ca="1" si="16"/>
        <v>346.59915789261436</v>
      </c>
      <c r="K46" s="80">
        <f t="shared" ca="1" si="12"/>
        <v>440.59915789261436</v>
      </c>
      <c r="L46" s="55">
        <f t="shared" ca="1" si="14"/>
        <v>0</v>
      </c>
      <c r="M46" s="55" t="str">
        <f t="shared" ca="1" si="17"/>
        <v/>
      </c>
      <c r="N46" s="55"/>
      <c r="O46" s="31"/>
      <c r="P46" s="31"/>
      <c r="Q46" s="31"/>
      <c r="R46" s="31"/>
      <c r="S46" s="31"/>
      <c r="T46" s="31"/>
      <c r="U46" s="31"/>
      <c r="V46" s="31"/>
      <c r="W46" s="55">
        <v>27</v>
      </c>
      <c r="X46" s="80">
        <v>403.18578002112304</v>
      </c>
      <c r="Y46" s="80">
        <v>47</v>
      </c>
      <c r="Z46" s="80">
        <v>653.18662085864275</v>
      </c>
      <c r="AA46" s="80">
        <v>133.17085754679533</v>
      </c>
      <c r="AB46" s="80">
        <v>606.18662085864275</v>
      </c>
      <c r="AC46" s="80">
        <v>216.14432448308966</v>
      </c>
      <c r="AD46" s="55">
        <v>1</v>
      </c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U46" s="59"/>
      <c r="BV46" s="59"/>
      <c r="BW46" s="59"/>
      <c r="BX46" s="59"/>
      <c r="BY46" s="59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</row>
    <row r="47" spans="1:92" x14ac:dyDescent="0.2">
      <c r="A47" s="31"/>
      <c r="B47" s="70">
        <v>28</v>
      </c>
      <c r="C47" s="52">
        <v>2</v>
      </c>
      <c r="D47" s="57">
        <v>14</v>
      </c>
      <c r="E47" s="37">
        <v>7</v>
      </c>
      <c r="F47" s="37">
        <f t="shared" si="11"/>
        <v>0</v>
      </c>
      <c r="G47" s="37" cm="1">
        <f t="array" ref="G47">IF(E47&lt;=INDEX($B$4:$B$17,C47),1,0)</f>
        <v>0</v>
      </c>
      <c r="H47" s="120">
        <f t="shared" ca="1" si="13"/>
        <v>0</v>
      </c>
      <c r="I47" s="38">
        <f>IF(AND(sat_working=TRUE,E47=6),ROUNDDOWN(AVERAGE('Data for 2021'!I41:I45),0),'Data for 2021'!I46)</f>
        <v>0</v>
      </c>
      <c r="J47" s="80">
        <f t="shared" ca="1" si="16"/>
        <v>440.59915789261436</v>
      </c>
      <c r="K47" s="80">
        <f t="shared" ca="1" si="12"/>
        <v>440.59915789261436</v>
      </c>
      <c r="L47" s="55">
        <f t="shared" ca="1" si="14"/>
        <v>0</v>
      </c>
      <c r="M47" s="55" t="str">
        <f t="shared" ca="1" si="17"/>
        <v/>
      </c>
      <c r="N47" s="55"/>
      <c r="O47" s="31"/>
      <c r="P47" s="31"/>
      <c r="Q47" s="31"/>
      <c r="R47" s="31"/>
      <c r="S47" s="31"/>
      <c r="T47" s="31"/>
      <c r="U47" s="31"/>
      <c r="V47" s="31"/>
      <c r="W47" s="55">
        <v>28</v>
      </c>
      <c r="X47" s="80">
        <v>593.08062684022912</v>
      </c>
      <c r="Y47" s="80">
        <v>47</v>
      </c>
      <c r="Z47" s="80">
        <v>1117.5756904355958</v>
      </c>
      <c r="AA47" s="80">
        <v>318.64200736325319</v>
      </c>
      <c r="AB47" s="80">
        <v>1070.5756904355958</v>
      </c>
      <c r="AC47" s="80">
        <v>892.55077288432733</v>
      </c>
      <c r="AD47" s="55">
        <v>2</v>
      </c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U47" s="59"/>
      <c r="BV47" s="59"/>
      <c r="BW47" s="59"/>
      <c r="BX47" s="59"/>
      <c r="BY47" s="59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</row>
    <row r="48" spans="1:92" x14ac:dyDescent="0.2">
      <c r="A48" s="31" t="s">
        <v>98</v>
      </c>
      <c r="B48" s="67">
        <v>29</v>
      </c>
      <c r="C48" s="50">
        <v>3</v>
      </c>
      <c r="D48" s="53">
        <v>1</v>
      </c>
      <c r="E48" s="35">
        <v>1</v>
      </c>
      <c r="F48" s="35">
        <f t="shared" si="11"/>
        <v>1</v>
      </c>
      <c r="G48" s="35" cm="1">
        <f t="array" ref="G48">IF(E48&lt;=INDEX($B$4:$B$17,C48),1,0)</f>
        <v>1</v>
      </c>
      <c r="H48" s="120">
        <f t="shared" ca="1" si="13"/>
        <v>158.38358576834204</v>
      </c>
      <c r="I48" s="38">
        <f>IF(AND(sat_working=TRUE,E48=6),ROUNDDOWN(AVERAGE('Data for 2021'!I42:I46),0),'Data for 2021'!I47)</f>
        <v>63</v>
      </c>
      <c r="J48" s="80">
        <f t="shared" ca="1" si="16"/>
        <v>440.59915789261436</v>
      </c>
      <c r="K48" s="80">
        <f t="shared" ca="1" si="12"/>
        <v>345.21557212427228</v>
      </c>
      <c r="L48" s="55">
        <f t="shared" ca="1" si="14"/>
        <v>0</v>
      </c>
      <c r="M48" s="55" t="str">
        <f t="shared" ca="1" si="17"/>
        <v/>
      </c>
      <c r="N48" s="55"/>
      <c r="O48" s="31"/>
      <c r="P48" s="31"/>
      <c r="Q48" s="31"/>
      <c r="R48" s="31"/>
      <c r="S48" s="31"/>
      <c r="T48" s="31"/>
      <c r="U48" s="31"/>
      <c r="V48" s="31"/>
      <c r="W48" s="55">
        <v>29</v>
      </c>
      <c r="X48" s="80">
        <v>685.91945996227605</v>
      </c>
      <c r="Y48" s="80">
        <v>47</v>
      </c>
      <c r="Z48" s="80">
        <v>1187.5408528666692</v>
      </c>
      <c r="AA48" s="80">
        <v>317.45168484224598</v>
      </c>
      <c r="AB48" s="80">
        <v>1140.5408528666692</v>
      </c>
      <c r="AC48" s="80">
        <v>976.11474527460882</v>
      </c>
      <c r="AD48" s="55">
        <v>2</v>
      </c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U48" s="59"/>
      <c r="BV48" s="59"/>
      <c r="BW48" s="59"/>
      <c r="BX48" s="59"/>
      <c r="BY48" s="59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</row>
    <row r="49" spans="1:91" x14ac:dyDescent="0.2">
      <c r="A49" s="31"/>
      <c r="B49" s="70">
        <v>30</v>
      </c>
      <c r="C49" s="51">
        <v>3</v>
      </c>
      <c r="D49" s="55">
        <v>2</v>
      </c>
      <c r="E49" s="37">
        <v>2</v>
      </c>
      <c r="F49" s="37">
        <f t="shared" si="11"/>
        <v>1</v>
      </c>
      <c r="G49" s="37" cm="1">
        <f t="array" ref="G49">IF(E49&lt;=INDEX($B$4:$B$17,C49),1,0)</f>
        <v>1</v>
      </c>
      <c r="H49" s="120">
        <f t="shared" ca="1" si="13"/>
        <v>142.02738959900341</v>
      </c>
      <c r="I49" s="38">
        <f>IF(AND(sat_working=TRUE,E49=6),ROUNDDOWN(AVERAGE('Data for 2021'!I43:I47),0),'Data for 2021'!I48)</f>
        <v>83</v>
      </c>
      <c r="J49" s="80">
        <f t="shared" ca="1" si="16"/>
        <v>345.21557212427228</v>
      </c>
      <c r="K49" s="80">
        <f t="shared" ca="1" si="12"/>
        <v>286.18818252526887</v>
      </c>
      <c r="L49" s="55">
        <f t="shared" ca="1" si="14"/>
        <v>0</v>
      </c>
      <c r="M49" s="55">
        <f t="shared" ca="1" si="17"/>
        <v>158.38358576834204</v>
      </c>
      <c r="N49" s="55"/>
      <c r="O49" s="31"/>
      <c r="P49" s="31"/>
      <c r="Q49" s="31"/>
      <c r="R49" s="31"/>
      <c r="S49" s="31"/>
      <c r="T49" s="31"/>
      <c r="U49" s="31"/>
      <c r="V49" s="31"/>
      <c r="W49" s="55">
        <v>30</v>
      </c>
      <c r="X49" s="80">
        <v>542.00553870911767</v>
      </c>
      <c r="Y49" s="80">
        <v>47</v>
      </c>
      <c r="Z49" s="80">
        <v>862.4329921926186</v>
      </c>
      <c r="AA49" s="80">
        <v>197.78829453617769</v>
      </c>
      <c r="AB49" s="80">
        <v>815.4329921926186</v>
      </c>
      <c r="AC49" s="80">
        <v>611.94385536664265</v>
      </c>
      <c r="AD49" s="55">
        <v>1</v>
      </c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U49" s="59"/>
      <c r="BV49" s="59"/>
      <c r="BW49" s="59"/>
      <c r="BX49" s="59"/>
      <c r="BY49" s="59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</row>
    <row r="50" spans="1:91" x14ac:dyDescent="0.2">
      <c r="A50" s="31"/>
      <c r="B50" s="67">
        <v>31</v>
      </c>
      <c r="C50" s="51">
        <v>3</v>
      </c>
      <c r="D50" s="55">
        <v>3</v>
      </c>
      <c r="E50" s="37">
        <v>3</v>
      </c>
      <c r="F50" s="37">
        <f t="shared" si="11"/>
        <v>1</v>
      </c>
      <c r="G50" s="37" cm="1">
        <f t="array" ref="G50">IF(E50&lt;=INDEX($B$4:$B$17,C50),1,0)</f>
        <v>1</v>
      </c>
      <c r="H50" s="120">
        <f t="shared" ca="1" si="13"/>
        <v>168.21863347942883</v>
      </c>
      <c r="I50" s="38">
        <f>IF(AND(sat_working=TRUE,E50=6),ROUNDDOWN(AVERAGE('Data for 2021'!I44:I48),0),'Data for 2021'!I49)</f>
        <v>85</v>
      </c>
      <c r="J50" s="80">
        <f t="shared" ca="1" si="16"/>
        <v>286.18818252526887</v>
      </c>
      <c r="K50" s="80">
        <f t="shared" ca="1" si="12"/>
        <v>202.96954904584004</v>
      </c>
      <c r="L50" s="55">
        <f t="shared" ca="1" si="14"/>
        <v>0</v>
      </c>
      <c r="M50" s="55">
        <f t="shared" ca="1" si="17"/>
        <v>142.02738959900341</v>
      </c>
      <c r="N50" s="55"/>
      <c r="O50" s="31"/>
      <c r="P50" s="31"/>
      <c r="Q50" s="31"/>
      <c r="R50" s="31"/>
      <c r="S50" s="31"/>
      <c r="T50" s="31"/>
      <c r="U50" s="31"/>
      <c r="V50" s="31"/>
      <c r="W50" s="55">
        <v>31</v>
      </c>
      <c r="X50" s="80">
        <v>627.53901958704819</v>
      </c>
      <c r="Y50" s="80">
        <v>38</v>
      </c>
      <c r="Z50" s="80">
        <v>1234.7382432486208</v>
      </c>
      <c r="AA50" s="80">
        <v>344.59988310111351</v>
      </c>
      <c r="AB50" s="80">
        <v>1196.7382432486208</v>
      </c>
      <c r="AC50" s="80">
        <v>758.17936971976155</v>
      </c>
      <c r="AD50" s="55">
        <v>7</v>
      </c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U50" s="59"/>
      <c r="BV50" s="59"/>
      <c r="BW50" s="59"/>
      <c r="BX50" s="59"/>
      <c r="BY50" s="59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</row>
    <row r="51" spans="1:91" x14ac:dyDescent="0.2">
      <c r="A51" s="31"/>
      <c r="B51" s="70">
        <v>32</v>
      </c>
      <c r="C51" s="51">
        <v>3</v>
      </c>
      <c r="D51" s="55">
        <v>4</v>
      </c>
      <c r="E51" s="37">
        <v>4</v>
      </c>
      <c r="F51" s="37">
        <f t="shared" si="11"/>
        <v>1</v>
      </c>
      <c r="G51" s="37" cm="1">
        <f t="array" ref="G51">IF(E51&lt;=INDEX($B$4:$B$17,C51),1,0)</f>
        <v>1</v>
      </c>
      <c r="H51" s="120">
        <f t="shared" ca="1" si="13"/>
        <v>141.72649584972712</v>
      </c>
      <c r="I51" s="38">
        <f>IF(AND(sat_working=TRUE,E51=6),ROUNDDOWN(AVERAGE('Data for 2021'!I45:I49),0),'Data for 2021'!I50)</f>
        <v>106</v>
      </c>
      <c r="J51" s="80">
        <f t="shared" ca="1" si="16"/>
        <v>202.96954904584004</v>
      </c>
      <c r="K51" s="80">
        <f t="shared" ca="1" si="12"/>
        <v>167.24305319611292</v>
      </c>
      <c r="L51" s="55">
        <f t="shared" ca="1" si="14"/>
        <v>0</v>
      </c>
      <c r="M51" s="55">
        <f t="shared" ca="1" si="17"/>
        <v>168.21863347942883</v>
      </c>
      <c r="N51" s="55"/>
      <c r="O51" s="31"/>
      <c r="P51" s="31"/>
      <c r="Q51" s="31"/>
      <c r="R51" s="31"/>
      <c r="S51" s="31"/>
      <c r="T51" s="31"/>
      <c r="U51" s="31"/>
      <c r="V51" s="31"/>
      <c r="W51" s="55">
        <v>32</v>
      </c>
      <c r="X51" s="80">
        <v>421.35934208477317</v>
      </c>
      <c r="Y51" s="80">
        <v>47</v>
      </c>
      <c r="Z51" s="80">
        <v>752.10181731839214</v>
      </c>
      <c r="AA51" s="80">
        <v>164.90639336081583</v>
      </c>
      <c r="AB51" s="80">
        <v>705.10181731839214</v>
      </c>
      <c r="AC51" s="80">
        <v>402.17936355438019</v>
      </c>
      <c r="AD51" s="55">
        <v>3</v>
      </c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U51" s="59"/>
      <c r="BV51" s="59"/>
      <c r="BW51" s="59"/>
      <c r="BX51" s="59"/>
      <c r="BY51" s="59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</row>
    <row r="52" spans="1:91" x14ac:dyDescent="0.2">
      <c r="A52" s="31"/>
      <c r="B52" s="67">
        <v>33</v>
      </c>
      <c r="C52" s="51">
        <v>3</v>
      </c>
      <c r="D52" s="55">
        <v>5</v>
      </c>
      <c r="E52" s="37">
        <v>5</v>
      </c>
      <c r="F52" s="37">
        <f t="shared" ref="F52:F83" si="29">IF(OR(I52&lt;&gt;0,(AND(sat_working=TRUE,E52=6))),1,0)</f>
        <v>1</v>
      </c>
      <c r="G52" s="37" cm="1">
        <f t="array" ref="G52">IF(E52&lt;=INDEX($B$4:$B$17,C52),1,0)</f>
        <v>0</v>
      </c>
      <c r="H52" s="120">
        <f t="shared" ca="1" si="13"/>
        <v>0</v>
      </c>
      <c r="I52" s="38">
        <f>IF(AND(sat_working=TRUE,E52=6),ROUNDDOWN(AVERAGE('Data for 2021'!I46:I50),0),'Data for 2021'!I51)</f>
        <v>91</v>
      </c>
      <c r="J52" s="80">
        <f t="shared" ca="1" si="16"/>
        <v>167.24305319611292</v>
      </c>
      <c r="K52" s="80">
        <f t="shared" ref="K52:K83" ca="1" si="30">J52+I52-H52</f>
        <v>258.2430531961129</v>
      </c>
      <c r="L52" s="55">
        <f t="shared" ca="1" si="14"/>
        <v>0</v>
      </c>
      <c r="M52" s="55">
        <f t="shared" ca="1" si="17"/>
        <v>141.72649584972712</v>
      </c>
      <c r="N52" s="55"/>
      <c r="O52" s="31"/>
      <c r="P52" s="31"/>
      <c r="Q52" s="31"/>
      <c r="R52" s="31"/>
      <c r="S52" s="31"/>
      <c r="T52" s="31"/>
      <c r="U52" s="31"/>
      <c r="V52" s="31"/>
      <c r="W52" s="55">
        <v>33</v>
      </c>
      <c r="X52" s="80">
        <v>646.46783170323795</v>
      </c>
      <c r="Y52" s="80">
        <v>47</v>
      </c>
      <c r="Z52" s="80">
        <v>1315.7442679318726</v>
      </c>
      <c r="AA52" s="80">
        <v>330.151445756275</v>
      </c>
      <c r="AB52" s="80">
        <v>1268.7442679318726</v>
      </c>
      <c r="AC52" s="80">
        <v>875.22452789089027</v>
      </c>
      <c r="AD52" s="55">
        <v>1</v>
      </c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U52" s="59"/>
      <c r="BV52" s="59"/>
      <c r="BW52" s="59"/>
      <c r="BX52" s="59"/>
      <c r="BY52" s="59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</row>
    <row r="53" spans="1:91" x14ac:dyDescent="0.2">
      <c r="A53" s="31"/>
      <c r="B53" s="70">
        <v>34</v>
      </c>
      <c r="C53" s="51">
        <v>3</v>
      </c>
      <c r="D53" s="55">
        <v>6</v>
      </c>
      <c r="E53" s="37">
        <v>6</v>
      </c>
      <c r="F53" s="37">
        <f t="shared" si="29"/>
        <v>1</v>
      </c>
      <c r="G53" s="37" cm="1">
        <f t="array" ref="G53">IF(E53&lt;=INDEX($B$4:$B$17,C53),1,0)</f>
        <v>0</v>
      </c>
      <c r="H53" s="120">
        <f t="shared" ref="H53:H84" ca="1" si="31">IF(G53=1,IF(cutting_choice=1, MIN(J53,$H$12),MIN(J53,NORMINV(RAND(),$H$13,$H$14))),0)</f>
        <v>0</v>
      </c>
      <c r="I53" s="38">
        <f>IF(AND(sat_working=TRUE,E53=6),ROUNDDOWN(AVERAGE('Data for 2021'!I47:I51,'Data for 2021'!I54:I58),0),'Data for 2021'!I52)</f>
        <v>98</v>
      </c>
      <c r="J53" s="80">
        <f t="shared" ca="1" si="16"/>
        <v>258.2430531961129</v>
      </c>
      <c r="K53" s="80">
        <f t="shared" ca="1" si="30"/>
        <v>356.2430531961129</v>
      </c>
      <c r="L53" s="55">
        <f t="shared" ref="L53:L84" ca="1" si="32">IF(AND(H53=J53,G53),1,0)</f>
        <v>0</v>
      </c>
      <c r="M53" s="55" t="str">
        <f t="shared" ca="1" si="17"/>
        <v/>
      </c>
      <c r="N53" s="55"/>
      <c r="O53" s="31"/>
      <c r="P53" s="31"/>
      <c r="Q53" s="31"/>
      <c r="R53" s="31"/>
      <c r="S53" s="31"/>
      <c r="T53" s="31"/>
      <c r="U53" s="31"/>
      <c r="V53" s="31"/>
      <c r="W53" s="55">
        <v>34</v>
      </c>
      <c r="X53" s="80">
        <v>723.07041670737954</v>
      </c>
      <c r="Y53" s="80">
        <v>47</v>
      </c>
      <c r="Z53" s="80">
        <v>1334.8508819023439</v>
      </c>
      <c r="AA53" s="80">
        <v>322.62292903886237</v>
      </c>
      <c r="AB53" s="80">
        <v>1287.8508819023439</v>
      </c>
      <c r="AC53" s="80">
        <v>954.65591419429779</v>
      </c>
      <c r="AD53" s="55">
        <v>1</v>
      </c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U53" s="59"/>
      <c r="BV53" s="59"/>
      <c r="BW53" s="59"/>
      <c r="BX53" s="59"/>
      <c r="BY53" s="59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</row>
    <row r="54" spans="1:91" x14ac:dyDescent="0.2">
      <c r="A54" s="31"/>
      <c r="B54" s="67">
        <v>35</v>
      </c>
      <c r="C54" s="51">
        <v>3</v>
      </c>
      <c r="D54" s="55">
        <v>7</v>
      </c>
      <c r="E54" s="37">
        <v>7</v>
      </c>
      <c r="F54" s="37">
        <f t="shared" si="29"/>
        <v>0</v>
      </c>
      <c r="G54" s="37" cm="1">
        <f t="array" ref="G54">IF(E54&lt;=INDEX($B$4:$B$17,C54),1,0)</f>
        <v>0</v>
      </c>
      <c r="H54" s="120">
        <f t="shared" ca="1" si="31"/>
        <v>0</v>
      </c>
      <c r="I54" s="38">
        <f>IF(AND(sat_working=TRUE,E54=6),ROUNDDOWN(AVERAGE('Data for 2021'!I48:I52),0),'Data for 2021'!I53)</f>
        <v>0</v>
      </c>
      <c r="J54" s="80">
        <f t="shared" ca="1" si="16"/>
        <v>356.2430531961129</v>
      </c>
      <c r="K54" s="80">
        <f t="shared" ca="1" si="30"/>
        <v>356.2430531961129</v>
      </c>
      <c r="L54" s="55">
        <f t="shared" ca="1" si="32"/>
        <v>0</v>
      </c>
      <c r="M54" s="55" t="str">
        <f t="shared" ca="1" si="17"/>
        <v/>
      </c>
      <c r="N54" s="55"/>
      <c r="O54" s="31"/>
      <c r="P54" s="31"/>
      <c r="Q54" s="31"/>
      <c r="R54" s="31"/>
      <c r="S54" s="31"/>
      <c r="T54" s="31"/>
      <c r="U54" s="31"/>
      <c r="V54" s="31"/>
      <c r="W54" s="55">
        <v>35</v>
      </c>
      <c r="X54" s="80">
        <v>527.36653270659167</v>
      </c>
      <c r="Y54" s="80">
        <v>42.853581566512105</v>
      </c>
      <c r="Z54" s="80">
        <v>953.34924729151965</v>
      </c>
      <c r="AA54" s="80">
        <v>239.25384586961223</v>
      </c>
      <c r="AB54" s="80">
        <v>910.49566572500748</v>
      </c>
      <c r="AC54" s="80">
        <v>559.64761912662811</v>
      </c>
      <c r="AD54" s="55">
        <v>1</v>
      </c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U54" s="59"/>
      <c r="BV54" s="59"/>
      <c r="BW54" s="59"/>
      <c r="BX54" s="59"/>
      <c r="BY54" s="59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</row>
    <row r="55" spans="1:91" x14ac:dyDescent="0.2">
      <c r="A55" s="31"/>
      <c r="B55" s="70">
        <v>36</v>
      </c>
      <c r="C55" s="51">
        <v>3</v>
      </c>
      <c r="D55" s="55">
        <v>8</v>
      </c>
      <c r="E55" s="35">
        <v>1</v>
      </c>
      <c r="F55" s="35">
        <f t="shared" si="29"/>
        <v>1</v>
      </c>
      <c r="G55" s="37" cm="1">
        <f t="array" ref="G55">IF(E55&lt;=INDEX($B$4:$B$17,C55),1,0)</f>
        <v>1</v>
      </c>
      <c r="H55" s="120">
        <f t="shared" ca="1" si="31"/>
        <v>156.16769628909429</v>
      </c>
      <c r="I55" s="38">
        <f>IF(AND(sat_working=TRUE,E55=6),ROUNDDOWN(AVERAGE('Data for 2021'!I49:I53),0),'Data for 2021'!I54)</f>
        <v>138</v>
      </c>
      <c r="J55" s="80">
        <f t="shared" ca="1" si="16"/>
        <v>356.2430531961129</v>
      </c>
      <c r="K55" s="80">
        <f t="shared" ca="1" si="30"/>
        <v>338.0753569070186</v>
      </c>
      <c r="L55" s="55">
        <f t="shared" ca="1" si="32"/>
        <v>0</v>
      </c>
      <c r="M55" s="55" t="str">
        <f t="shared" ca="1" si="17"/>
        <v/>
      </c>
      <c r="N55" s="55"/>
      <c r="O55" s="31"/>
      <c r="P55" s="31"/>
      <c r="Q55" s="31"/>
      <c r="R55" s="31"/>
      <c r="S55" s="31"/>
      <c r="T55" s="31"/>
      <c r="U55" s="31"/>
      <c r="V55" s="31"/>
      <c r="W55" s="55">
        <v>36</v>
      </c>
      <c r="X55" s="80">
        <v>605.27390114739774</v>
      </c>
      <c r="Y55" s="80">
        <v>47</v>
      </c>
      <c r="Z55" s="80">
        <v>1131.418118331369</v>
      </c>
      <c r="AA55" s="80">
        <v>291.45950607145807</v>
      </c>
      <c r="AB55" s="80">
        <v>1084.418118331369</v>
      </c>
      <c r="AC55" s="80">
        <v>667.46759311353253</v>
      </c>
      <c r="AD55" s="55">
        <v>2</v>
      </c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U55" s="59"/>
      <c r="BV55" s="59"/>
      <c r="BW55" s="59"/>
      <c r="BX55" s="59"/>
      <c r="BY55" s="59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</row>
    <row r="56" spans="1:91" x14ac:dyDescent="0.2">
      <c r="A56" s="31"/>
      <c r="B56" s="67">
        <v>37</v>
      </c>
      <c r="C56" s="51">
        <v>3</v>
      </c>
      <c r="D56" s="55">
        <v>9</v>
      </c>
      <c r="E56" s="37">
        <v>2</v>
      </c>
      <c r="F56" s="37">
        <f t="shared" si="29"/>
        <v>1</v>
      </c>
      <c r="G56" s="37" cm="1">
        <f t="array" ref="G56">IF(E56&lt;=INDEX($B$4:$B$17,C56),1,0)</f>
        <v>1</v>
      </c>
      <c r="H56" s="120">
        <f t="shared" ca="1" si="31"/>
        <v>126.67455501314521</v>
      </c>
      <c r="I56" s="38">
        <f>IF(AND(sat_working=TRUE,E56=6),ROUNDDOWN(AVERAGE('Data for 2021'!I50:I54),0),'Data for 2021'!I55)</f>
        <v>102</v>
      </c>
      <c r="J56" s="80">
        <f t="shared" ca="1" si="16"/>
        <v>338.0753569070186</v>
      </c>
      <c r="K56" s="80">
        <f t="shared" ca="1" si="30"/>
        <v>313.40080189387339</v>
      </c>
      <c r="L56" s="55">
        <f t="shared" ca="1" si="32"/>
        <v>0</v>
      </c>
      <c r="M56" s="55">
        <f t="shared" ca="1" si="17"/>
        <v>156.16769628909429</v>
      </c>
      <c r="N56" s="55"/>
      <c r="O56" s="31"/>
      <c r="P56" s="31"/>
      <c r="Q56" s="31"/>
      <c r="R56" s="31"/>
      <c r="S56" s="31"/>
      <c r="T56" s="31"/>
      <c r="U56" s="31"/>
      <c r="V56" s="31"/>
      <c r="W56" s="55">
        <v>37</v>
      </c>
      <c r="X56" s="80">
        <v>494.72747891982385</v>
      </c>
      <c r="Y56" s="80">
        <v>47</v>
      </c>
      <c r="Z56" s="80">
        <v>973.39881563109122</v>
      </c>
      <c r="AA56" s="80">
        <v>226.28231724762296</v>
      </c>
      <c r="AB56" s="80">
        <v>926.39881563109122</v>
      </c>
      <c r="AC56" s="80">
        <v>571.22020532902832</v>
      </c>
      <c r="AD56" s="55">
        <v>1</v>
      </c>
      <c r="AE56" s="31"/>
      <c r="AF56" s="31"/>
      <c r="AG56" s="46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U56" s="59"/>
      <c r="BV56" s="59"/>
      <c r="BW56" s="59"/>
      <c r="BX56" s="59"/>
      <c r="BY56" s="59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</row>
    <row r="57" spans="1:91" x14ac:dyDescent="0.2">
      <c r="A57" s="31"/>
      <c r="B57" s="70">
        <v>38</v>
      </c>
      <c r="C57" s="51">
        <v>3</v>
      </c>
      <c r="D57" s="55">
        <v>10</v>
      </c>
      <c r="E57" s="37">
        <v>3</v>
      </c>
      <c r="F57" s="37">
        <f t="shared" si="29"/>
        <v>1</v>
      </c>
      <c r="G57" s="37" cm="1">
        <f t="array" ref="G57">IF(E57&lt;=INDEX($B$4:$B$17,C57),1,0)</f>
        <v>1</v>
      </c>
      <c r="H57" s="120">
        <f t="shared" ca="1" si="31"/>
        <v>184.18505350695867</v>
      </c>
      <c r="I57" s="38">
        <f>IF(AND(sat_working=TRUE,E57=6),ROUNDDOWN(AVERAGE('Data for 2021'!I51:I55),0),'Data for 2021'!I56)</f>
        <v>109</v>
      </c>
      <c r="J57" s="80">
        <f t="shared" ca="1" si="16"/>
        <v>313.40080189387339</v>
      </c>
      <c r="K57" s="80">
        <f t="shared" ca="1" si="30"/>
        <v>238.21574838691473</v>
      </c>
      <c r="L57" s="55">
        <f t="shared" ca="1" si="32"/>
        <v>0</v>
      </c>
      <c r="M57" s="55">
        <f t="shared" ca="1" si="17"/>
        <v>126.67455501314521</v>
      </c>
      <c r="N57" s="55"/>
      <c r="O57" s="31"/>
      <c r="P57" s="31"/>
      <c r="Q57" s="31"/>
      <c r="R57" s="31"/>
      <c r="S57" s="31"/>
      <c r="T57" s="31"/>
      <c r="U57" s="31"/>
      <c r="V57" s="31"/>
      <c r="W57" s="55">
        <v>38</v>
      </c>
      <c r="X57" s="80">
        <v>434.04113382428676</v>
      </c>
      <c r="Y57" s="80">
        <v>47</v>
      </c>
      <c r="Z57" s="80">
        <v>829.83100564545043</v>
      </c>
      <c r="AA57" s="80">
        <v>187.05652220421888</v>
      </c>
      <c r="AB57" s="80">
        <v>782.83100564545043</v>
      </c>
      <c r="AC57" s="80">
        <v>296.22899743474829</v>
      </c>
      <c r="AD57" s="55">
        <v>6</v>
      </c>
      <c r="AE57" s="31"/>
      <c r="AF57" s="31"/>
      <c r="AG57" s="46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U57" s="59"/>
      <c r="BV57" s="59"/>
      <c r="BW57" s="59"/>
      <c r="BX57" s="59"/>
      <c r="BY57" s="59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</row>
    <row r="58" spans="1:91" x14ac:dyDescent="0.2">
      <c r="A58" s="31"/>
      <c r="B58" s="67">
        <v>39</v>
      </c>
      <c r="C58" s="51">
        <v>3</v>
      </c>
      <c r="D58" s="55">
        <v>11</v>
      </c>
      <c r="E58" s="37">
        <v>4</v>
      </c>
      <c r="F58" s="37">
        <f t="shared" si="29"/>
        <v>1</v>
      </c>
      <c r="G58" s="37" cm="1">
        <f t="array" ref="G58">IF(E58&lt;=INDEX($B$4:$B$17,C58),1,0)</f>
        <v>1</v>
      </c>
      <c r="H58" s="120">
        <f t="shared" ca="1" si="31"/>
        <v>193.27576798147032</v>
      </c>
      <c r="I58" s="38">
        <f>IF(AND(sat_working=TRUE,E58=6),ROUNDDOWN(AVERAGE('Data for 2021'!I52:I56),0),'Data for 2021'!I57)</f>
        <v>83</v>
      </c>
      <c r="J58" s="80">
        <f t="shared" ca="1" si="16"/>
        <v>238.21574838691473</v>
      </c>
      <c r="K58" s="80">
        <f t="shared" ca="1" si="30"/>
        <v>127.93998040544437</v>
      </c>
      <c r="L58" s="55">
        <f t="shared" ca="1" si="32"/>
        <v>0</v>
      </c>
      <c r="M58" s="55">
        <f t="shared" ca="1" si="17"/>
        <v>184.18505350695867</v>
      </c>
      <c r="N58" s="55"/>
      <c r="O58" s="31"/>
      <c r="P58" s="31"/>
      <c r="Q58" s="31"/>
      <c r="R58" s="31"/>
      <c r="S58" s="31"/>
      <c r="T58" s="31"/>
      <c r="U58" s="31"/>
      <c r="V58" s="31"/>
      <c r="W58" s="55">
        <v>39</v>
      </c>
      <c r="X58" s="80">
        <v>580.98248911755456</v>
      </c>
      <c r="Y58" s="80">
        <v>47</v>
      </c>
      <c r="Z58" s="80">
        <v>1091.1156143888422</v>
      </c>
      <c r="AA58" s="80">
        <v>257.70595512489518</v>
      </c>
      <c r="AB58" s="80">
        <v>1044.1156143888422</v>
      </c>
      <c r="AC58" s="80">
        <v>602.19580063023147</v>
      </c>
      <c r="AD58" s="55">
        <v>1</v>
      </c>
      <c r="AE58" s="31"/>
      <c r="AF58" s="31"/>
      <c r="AG58" s="46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U58" s="59"/>
      <c r="BV58" s="59"/>
      <c r="BW58" s="59"/>
      <c r="BX58" s="59"/>
      <c r="BY58" s="59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</row>
    <row r="59" spans="1:91" x14ac:dyDescent="0.2">
      <c r="A59" s="31"/>
      <c r="B59" s="70">
        <v>40</v>
      </c>
      <c r="C59" s="51">
        <v>3</v>
      </c>
      <c r="D59" s="55">
        <v>12</v>
      </c>
      <c r="E59" s="37">
        <v>5</v>
      </c>
      <c r="F59" s="37">
        <f t="shared" si="29"/>
        <v>1</v>
      </c>
      <c r="G59" s="37" cm="1">
        <f t="array" ref="G59">IF(E59&lt;=INDEX($B$4:$B$17,C59),1,0)</f>
        <v>0</v>
      </c>
      <c r="H59" s="120">
        <f t="shared" ca="1" si="31"/>
        <v>0</v>
      </c>
      <c r="I59" s="38">
        <f>IF(AND(sat_working=TRUE,E59=6),ROUNDDOWN(AVERAGE('Data for 2021'!I53:I57),0),'Data for 2021'!I58)</f>
        <v>122</v>
      </c>
      <c r="J59" s="80">
        <f t="shared" ca="1" si="16"/>
        <v>127.93998040544437</v>
      </c>
      <c r="K59" s="80">
        <f t="shared" ca="1" si="30"/>
        <v>249.93998040544437</v>
      </c>
      <c r="L59" s="55">
        <f t="shared" ca="1" si="32"/>
        <v>0</v>
      </c>
      <c r="M59" s="55">
        <f t="shared" ca="1" si="17"/>
        <v>193.27576798147032</v>
      </c>
      <c r="N59" s="55"/>
      <c r="O59" s="31"/>
      <c r="P59" s="31"/>
      <c r="Q59" s="31"/>
      <c r="R59" s="31"/>
      <c r="S59" s="31"/>
      <c r="T59" s="31"/>
      <c r="U59" s="31"/>
      <c r="V59" s="31"/>
      <c r="W59" s="55">
        <v>40</v>
      </c>
      <c r="X59" s="80">
        <v>530.21990890508835</v>
      </c>
      <c r="Y59" s="80">
        <v>47</v>
      </c>
      <c r="Z59" s="80">
        <v>902.95348774883632</v>
      </c>
      <c r="AA59" s="80">
        <v>222.96449760161553</v>
      </c>
      <c r="AB59" s="80">
        <v>855.95348774883632</v>
      </c>
      <c r="AC59" s="80">
        <v>691.21830621259653</v>
      </c>
      <c r="AD59" s="55">
        <v>1</v>
      </c>
      <c r="AE59" s="31"/>
      <c r="AF59" s="31"/>
      <c r="AG59" s="46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U59" s="59"/>
      <c r="BV59" s="59"/>
      <c r="BW59" s="59"/>
      <c r="BX59" s="59"/>
      <c r="BY59" s="59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</row>
    <row r="60" spans="1:91" x14ac:dyDescent="0.2">
      <c r="A60" s="31"/>
      <c r="B60" s="67">
        <v>41</v>
      </c>
      <c r="C60" s="51">
        <v>3</v>
      </c>
      <c r="D60" s="55">
        <v>13</v>
      </c>
      <c r="E60" s="37">
        <v>6</v>
      </c>
      <c r="F60" s="37">
        <f t="shared" si="29"/>
        <v>1</v>
      </c>
      <c r="G60" s="37" cm="1">
        <f t="array" ref="G60">IF(E60&lt;=INDEX($B$4:$B$17,C60),1,0)</f>
        <v>0</v>
      </c>
      <c r="H60" s="120">
        <f t="shared" ca="1" si="31"/>
        <v>0</v>
      </c>
      <c r="I60" s="38">
        <f>I53</f>
        <v>98</v>
      </c>
      <c r="J60" s="80">
        <f t="shared" ca="1" si="16"/>
        <v>249.93998040544437</v>
      </c>
      <c r="K60" s="80">
        <f t="shared" ca="1" si="30"/>
        <v>347.93998040544437</v>
      </c>
      <c r="L60" s="55">
        <f t="shared" ca="1" si="32"/>
        <v>0</v>
      </c>
      <c r="M60" s="55" t="str">
        <f t="shared" ca="1" si="17"/>
        <v/>
      </c>
      <c r="N60" s="55"/>
      <c r="O60" s="31"/>
      <c r="P60" s="31"/>
      <c r="Q60" s="31"/>
      <c r="R60" s="31"/>
      <c r="S60" s="31"/>
      <c r="T60" s="31"/>
      <c r="U60" s="31"/>
      <c r="V60" s="31"/>
      <c r="W60" s="55">
        <v>41</v>
      </c>
      <c r="X60" s="80">
        <v>583.44913141763357</v>
      </c>
      <c r="Y60" s="80">
        <v>47</v>
      </c>
      <c r="Z60" s="80">
        <v>1133.3705088761847</v>
      </c>
      <c r="AA60" s="80">
        <v>316.65680684136004</v>
      </c>
      <c r="AB60" s="80">
        <v>1086.3705088761847</v>
      </c>
      <c r="AC60" s="80">
        <v>810.6229942820496</v>
      </c>
      <c r="AD60" s="55">
        <v>2</v>
      </c>
      <c r="AE60" s="31"/>
      <c r="AF60" s="31"/>
      <c r="AG60" s="46"/>
      <c r="AH60" s="31"/>
      <c r="AI60" s="31"/>
      <c r="AJ60" s="31"/>
      <c r="AK60" s="31"/>
      <c r="AL60" s="31"/>
      <c r="AM60" s="31"/>
      <c r="AN60" s="31"/>
      <c r="AO60" s="31"/>
      <c r="AP60" s="59"/>
      <c r="AQ60" s="60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U60" s="59"/>
      <c r="BV60" s="59"/>
      <c r="BW60" s="59"/>
      <c r="BX60" s="59"/>
      <c r="BY60" s="59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</row>
    <row r="61" spans="1:91" x14ac:dyDescent="0.2">
      <c r="A61" s="31"/>
      <c r="B61" s="70">
        <v>42</v>
      </c>
      <c r="C61" s="52">
        <v>3</v>
      </c>
      <c r="D61" s="57">
        <v>14</v>
      </c>
      <c r="E61" s="37">
        <v>7</v>
      </c>
      <c r="F61" s="37">
        <f t="shared" si="29"/>
        <v>0</v>
      </c>
      <c r="G61" s="37" cm="1">
        <f t="array" ref="G61">IF(E61&lt;=INDEX($B$4:$B$17,C61),1,0)</f>
        <v>0</v>
      </c>
      <c r="H61" s="120">
        <f t="shared" ca="1" si="31"/>
        <v>0</v>
      </c>
      <c r="I61" s="38">
        <f>IF(AND(sat_working=TRUE,E61=6),ROUNDDOWN(AVERAGE('Data for 2021'!I55:I59),0),'Data for 2021'!I60)</f>
        <v>0</v>
      </c>
      <c r="J61" s="80">
        <f t="shared" ca="1" si="16"/>
        <v>347.93998040544437</v>
      </c>
      <c r="K61" s="80">
        <f t="shared" ca="1" si="30"/>
        <v>347.93998040544437</v>
      </c>
      <c r="L61" s="55">
        <f t="shared" ca="1" si="32"/>
        <v>0</v>
      </c>
      <c r="M61" s="55" t="str">
        <f t="shared" ca="1" si="17"/>
        <v/>
      </c>
      <c r="N61" s="55"/>
      <c r="O61" s="31"/>
      <c r="P61" s="31"/>
      <c r="Q61" s="31"/>
      <c r="R61" s="31"/>
      <c r="S61" s="31"/>
      <c r="T61" s="31"/>
      <c r="U61" s="31"/>
      <c r="V61" s="31"/>
      <c r="W61" s="55">
        <v>42</v>
      </c>
      <c r="X61" s="80">
        <v>548.93217310303476</v>
      </c>
      <c r="Y61" s="80">
        <v>47</v>
      </c>
      <c r="Z61" s="80">
        <v>1091.2879867400495</v>
      </c>
      <c r="AA61" s="80">
        <v>281.24451706032914</v>
      </c>
      <c r="AB61" s="80">
        <v>1044.2879867400495</v>
      </c>
      <c r="AC61" s="80">
        <v>596.87639101959076</v>
      </c>
      <c r="AD61" s="55">
        <v>3</v>
      </c>
      <c r="AE61" s="31"/>
      <c r="AF61" s="31"/>
      <c r="AG61" s="46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U61" s="59"/>
      <c r="BV61" s="59"/>
      <c r="BW61" s="59"/>
      <c r="BX61" s="59"/>
      <c r="BY61" s="59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</row>
    <row r="62" spans="1:91" x14ac:dyDescent="0.2">
      <c r="A62" s="31" t="s">
        <v>97</v>
      </c>
      <c r="B62" s="67">
        <v>43</v>
      </c>
      <c r="C62" s="50">
        <v>4</v>
      </c>
      <c r="D62" s="53">
        <v>1</v>
      </c>
      <c r="E62" s="35">
        <v>1</v>
      </c>
      <c r="F62" s="35">
        <f t="shared" si="29"/>
        <v>1</v>
      </c>
      <c r="G62" s="35" cm="1">
        <f t="array" ref="G62">IF(E62&lt;=INDEX($B$4:$B$17,C62),1,0)</f>
        <v>1</v>
      </c>
      <c r="H62" s="120">
        <f t="shared" ca="1" si="31"/>
        <v>166.05779823576233</v>
      </c>
      <c r="I62" s="38">
        <f>IF(AND(sat_working=TRUE,E62=6),ROUNDDOWN(AVERAGE('Data for 2021'!I56:I60),0),'Data for 2021'!I61)</f>
        <v>129</v>
      </c>
      <c r="J62" s="80">
        <f t="shared" ca="1" si="16"/>
        <v>347.93998040544437</v>
      </c>
      <c r="K62" s="80">
        <f t="shared" ca="1" si="30"/>
        <v>310.88218216968204</v>
      </c>
      <c r="L62" s="55">
        <f t="shared" ca="1" si="32"/>
        <v>0</v>
      </c>
      <c r="M62" s="55" t="str">
        <f t="shared" ca="1" si="17"/>
        <v/>
      </c>
      <c r="N62" s="55"/>
      <c r="O62" s="31"/>
      <c r="P62" s="31"/>
      <c r="Q62" s="31"/>
      <c r="R62" s="31"/>
      <c r="S62" s="31"/>
      <c r="T62" s="31"/>
      <c r="U62" s="31"/>
      <c r="V62" s="31"/>
      <c r="W62" s="55">
        <v>43</v>
      </c>
      <c r="X62" s="80">
        <v>636.37704830825521</v>
      </c>
      <c r="Y62" s="80">
        <v>47</v>
      </c>
      <c r="Z62" s="80">
        <v>1100.4471135942922</v>
      </c>
      <c r="AA62" s="80">
        <v>285.34377128693285</v>
      </c>
      <c r="AB62" s="80">
        <v>1053.4471135942922</v>
      </c>
      <c r="AC62" s="80">
        <v>864.39568366403364</v>
      </c>
      <c r="AD62" s="55">
        <v>1</v>
      </c>
      <c r="AE62" s="31"/>
      <c r="AF62" s="31"/>
      <c r="AG62" s="46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U62" s="59"/>
      <c r="BV62" s="59"/>
      <c r="BW62" s="59"/>
      <c r="BX62" s="59"/>
      <c r="BY62" s="59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</row>
    <row r="63" spans="1:91" x14ac:dyDescent="0.2">
      <c r="A63" s="31"/>
      <c r="B63" s="70">
        <v>44</v>
      </c>
      <c r="C63" s="51">
        <v>4</v>
      </c>
      <c r="D63" s="55">
        <v>2</v>
      </c>
      <c r="E63" s="37">
        <v>2</v>
      </c>
      <c r="F63" s="37">
        <f t="shared" si="29"/>
        <v>1</v>
      </c>
      <c r="G63" s="37" cm="1">
        <f t="array" ref="G63">IF(E63&lt;=INDEX($B$4:$B$17,C63),1,0)</f>
        <v>1</v>
      </c>
      <c r="H63" s="120">
        <f t="shared" ca="1" si="31"/>
        <v>160.69612302132049</v>
      </c>
      <c r="I63" s="38">
        <f>IF(AND(sat_working=TRUE,E63=6),ROUNDDOWN(AVERAGE('Data for 2021'!I57:I61),0),'Data for 2021'!I62)</f>
        <v>50</v>
      </c>
      <c r="J63" s="80">
        <f t="shared" ca="1" si="16"/>
        <v>310.88218216968204</v>
      </c>
      <c r="K63" s="80">
        <f t="shared" ca="1" si="30"/>
        <v>200.18605914836155</v>
      </c>
      <c r="L63" s="55">
        <f t="shared" ca="1" si="32"/>
        <v>0</v>
      </c>
      <c r="M63" s="55">
        <f t="shared" ca="1" si="17"/>
        <v>166.05779823576233</v>
      </c>
      <c r="N63" s="55"/>
      <c r="O63" s="31"/>
      <c r="P63" s="31"/>
      <c r="Q63" s="31"/>
      <c r="R63" s="31"/>
      <c r="S63" s="31"/>
      <c r="T63" s="31"/>
      <c r="U63" s="31"/>
      <c r="V63" s="31"/>
      <c r="W63" s="55">
        <v>44</v>
      </c>
      <c r="X63" s="80">
        <v>591.12778095401848</v>
      </c>
      <c r="Y63" s="80">
        <v>47</v>
      </c>
      <c r="Z63" s="80">
        <v>1172.0611556385127</v>
      </c>
      <c r="AA63" s="80">
        <v>290.79930641530382</v>
      </c>
      <c r="AB63" s="80">
        <v>1125.0611556385127</v>
      </c>
      <c r="AC63" s="80">
        <v>751.31858947561318</v>
      </c>
      <c r="AD63" s="55">
        <v>2</v>
      </c>
      <c r="AE63" s="31"/>
      <c r="AF63" s="31"/>
      <c r="AG63" s="46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U63" s="59"/>
      <c r="BV63" s="59"/>
      <c r="BW63" s="59"/>
      <c r="BX63" s="59"/>
      <c r="BY63" s="59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</row>
    <row r="64" spans="1:91" x14ac:dyDescent="0.2">
      <c r="A64" s="31"/>
      <c r="B64" s="67">
        <v>45</v>
      </c>
      <c r="C64" s="51">
        <v>4</v>
      </c>
      <c r="D64" s="55">
        <v>3</v>
      </c>
      <c r="E64" s="37">
        <v>3</v>
      </c>
      <c r="F64" s="37">
        <f t="shared" si="29"/>
        <v>1</v>
      </c>
      <c r="G64" s="37" cm="1">
        <f t="array" ref="G64">IF(E64&lt;=INDEX($B$4:$B$17,C64),1,0)</f>
        <v>1</v>
      </c>
      <c r="H64" s="120">
        <f t="shared" ca="1" si="31"/>
        <v>179.71674359290486</v>
      </c>
      <c r="I64" s="38">
        <f>IF(AND(sat_working=TRUE,E64=6),ROUNDDOWN(AVERAGE('Data for 2021'!I58:I62),0),'Data for 2021'!I63)</f>
        <v>118</v>
      </c>
      <c r="J64" s="80">
        <f t="shared" ca="1" si="16"/>
        <v>200.18605914836155</v>
      </c>
      <c r="K64" s="80">
        <f t="shared" ca="1" si="30"/>
        <v>138.46931555545669</v>
      </c>
      <c r="L64" s="55">
        <f t="shared" ca="1" si="32"/>
        <v>0</v>
      </c>
      <c r="M64" s="55">
        <f t="shared" ca="1" si="17"/>
        <v>160.69612302132049</v>
      </c>
      <c r="N64" s="55"/>
      <c r="O64" s="31"/>
      <c r="P64" s="31"/>
      <c r="Q64" s="31"/>
      <c r="R64" s="31"/>
      <c r="S64" s="31"/>
      <c r="T64" s="31"/>
      <c r="U64" s="31"/>
      <c r="V64" s="31"/>
      <c r="W64" s="55">
        <v>45</v>
      </c>
      <c r="X64" s="80">
        <v>743.12591291493936</v>
      </c>
      <c r="Y64" s="80">
        <v>47</v>
      </c>
      <c r="Z64" s="80">
        <v>1126.0480539733294</v>
      </c>
      <c r="AA64" s="80">
        <v>264.52446753498987</v>
      </c>
      <c r="AB64" s="80">
        <v>1079.0480539733294</v>
      </c>
      <c r="AC64" s="80">
        <v>781.04471523571419</v>
      </c>
      <c r="AD64" s="55">
        <v>1</v>
      </c>
      <c r="AE64" s="31"/>
      <c r="AF64" s="31"/>
      <c r="AG64" s="46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U64" s="59"/>
      <c r="BV64" s="59"/>
      <c r="BW64" s="59"/>
      <c r="BX64" s="59"/>
      <c r="BY64" s="59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</row>
    <row r="65" spans="1:91" x14ac:dyDescent="0.2">
      <c r="A65" s="31"/>
      <c r="B65" s="70">
        <v>46</v>
      </c>
      <c r="C65" s="51">
        <v>4</v>
      </c>
      <c r="D65" s="55">
        <v>4</v>
      </c>
      <c r="E65" s="37">
        <v>4</v>
      </c>
      <c r="F65" s="37">
        <f t="shared" si="29"/>
        <v>1</v>
      </c>
      <c r="G65" s="37" cm="1">
        <f t="array" ref="G65">IF(E65&lt;=INDEX($B$4:$B$17,C65),1,0)</f>
        <v>1</v>
      </c>
      <c r="H65" s="120">
        <f t="shared" ca="1" si="31"/>
        <v>138.46931555545669</v>
      </c>
      <c r="I65" s="38">
        <f>IF(AND(sat_working=TRUE,E65=6),ROUNDDOWN(AVERAGE('Data for 2021'!I59:I63),0),'Data for 2021'!I64)</f>
        <v>141</v>
      </c>
      <c r="J65" s="80">
        <f t="shared" ca="1" si="16"/>
        <v>138.46931555545669</v>
      </c>
      <c r="K65" s="80">
        <f t="shared" ca="1" si="30"/>
        <v>140.99999999999997</v>
      </c>
      <c r="L65" s="55">
        <f t="shared" ca="1" si="32"/>
        <v>1</v>
      </c>
      <c r="M65" s="55">
        <f t="shared" ca="1" si="17"/>
        <v>179.71674359290486</v>
      </c>
      <c r="N65" s="55"/>
      <c r="O65" s="31"/>
      <c r="P65" s="31"/>
      <c r="Q65" s="31"/>
      <c r="R65" s="31"/>
      <c r="S65" s="31"/>
      <c r="T65" s="31"/>
      <c r="U65" s="31"/>
      <c r="V65" s="31"/>
      <c r="W65" s="55">
        <v>46</v>
      </c>
      <c r="X65" s="80">
        <v>487.59799199822226</v>
      </c>
      <c r="Y65" s="80">
        <v>47</v>
      </c>
      <c r="Z65" s="80">
        <v>894.14990109302914</v>
      </c>
      <c r="AA65" s="80">
        <v>211.9080504985352</v>
      </c>
      <c r="AB65" s="80">
        <v>847.14990109302914</v>
      </c>
      <c r="AC65" s="80">
        <v>688.12745832354756</v>
      </c>
      <c r="AD65" s="55">
        <v>2</v>
      </c>
      <c r="AE65" s="31"/>
      <c r="AF65" s="31"/>
      <c r="AG65" s="46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U65" s="59"/>
      <c r="BV65" s="59"/>
      <c r="BW65" s="59"/>
      <c r="BX65" s="59"/>
      <c r="BY65" s="59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</row>
    <row r="66" spans="1:91" x14ac:dyDescent="0.2">
      <c r="A66" s="31"/>
      <c r="B66" s="67">
        <v>47</v>
      </c>
      <c r="C66" s="51">
        <v>4</v>
      </c>
      <c r="D66" s="55">
        <v>5</v>
      </c>
      <c r="E66" s="37">
        <v>5</v>
      </c>
      <c r="F66" s="37">
        <f t="shared" si="29"/>
        <v>1</v>
      </c>
      <c r="G66" s="37" cm="1">
        <f t="array" ref="G66">IF(E66&lt;=INDEX($B$4:$B$17,C66),1,0)</f>
        <v>0</v>
      </c>
      <c r="H66" s="120">
        <f t="shared" ca="1" si="31"/>
        <v>0</v>
      </c>
      <c r="I66" s="38">
        <f>IF(AND(sat_working=TRUE,E66=6),ROUNDDOWN(AVERAGE('Data for 2021'!I60:I64),0),'Data for 2021'!I65)</f>
        <v>113</v>
      </c>
      <c r="J66" s="80">
        <f t="shared" ca="1" si="16"/>
        <v>140.99999999999997</v>
      </c>
      <c r="K66" s="80">
        <f t="shared" ca="1" si="30"/>
        <v>253.99999999999997</v>
      </c>
      <c r="L66" s="55">
        <f t="shared" ca="1" si="32"/>
        <v>0</v>
      </c>
      <c r="M66" s="55" t="str">
        <f t="shared" ca="1" si="17"/>
        <v/>
      </c>
      <c r="N66" s="55"/>
      <c r="O66" s="31"/>
      <c r="P66" s="31"/>
      <c r="Q66" s="31"/>
      <c r="R66" s="31"/>
      <c r="S66" s="31"/>
      <c r="T66" s="31"/>
      <c r="U66" s="31"/>
      <c r="V66" s="31"/>
      <c r="W66" s="55">
        <v>47</v>
      </c>
      <c r="X66" s="80">
        <v>502.82036469823879</v>
      </c>
      <c r="Y66" s="80">
        <v>47</v>
      </c>
      <c r="Z66" s="80">
        <v>1045.4609306601267</v>
      </c>
      <c r="AA66" s="80">
        <v>271.39649325765225</v>
      </c>
      <c r="AB66" s="80">
        <v>998.46093066012668</v>
      </c>
      <c r="AC66" s="80">
        <v>632.76610392755833</v>
      </c>
      <c r="AD66" s="55">
        <v>2</v>
      </c>
      <c r="AE66" s="31"/>
      <c r="AF66" s="31"/>
      <c r="AG66" s="46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U66" s="59"/>
      <c r="BV66" s="59"/>
      <c r="BW66" s="59"/>
      <c r="BX66" s="59"/>
      <c r="BY66" s="59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</row>
    <row r="67" spans="1:91" x14ac:dyDescent="0.2">
      <c r="A67" s="31"/>
      <c r="B67" s="70">
        <v>48</v>
      </c>
      <c r="C67" s="51">
        <v>4</v>
      </c>
      <c r="D67" s="55">
        <v>6</v>
      </c>
      <c r="E67" s="37">
        <v>6</v>
      </c>
      <c r="F67" s="37">
        <f t="shared" si="29"/>
        <v>1</v>
      </c>
      <c r="G67" s="37" cm="1">
        <f t="array" ref="G67">IF(E67&lt;=INDEX($B$4:$B$17,C67),1,0)</f>
        <v>0</v>
      </c>
      <c r="H67" s="120">
        <f t="shared" ca="1" si="31"/>
        <v>0</v>
      </c>
      <c r="I67" s="38">
        <f>IF(AND(sat_working=TRUE,E67=6),ROUNDDOWN(AVERAGE('Data for 2021'!I61:I65,'Data for 2021'!I68:I72),0),'Data for 2021'!I66)</f>
        <v>115</v>
      </c>
      <c r="J67" s="80">
        <f t="shared" ca="1" si="16"/>
        <v>253.99999999999997</v>
      </c>
      <c r="K67" s="80">
        <f t="shared" ca="1" si="30"/>
        <v>369</v>
      </c>
      <c r="L67" s="55">
        <f t="shared" ca="1" si="32"/>
        <v>0</v>
      </c>
      <c r="M67" s="55" t="str">
        <f t="shared" ca="1" si="17"/>
        <v/>
      </c>
      <c r="N67" s="55"/>
      <c r="O67" s="31"/>
      <c r="P67" s="31"/>
      <c r="Q67" s="31"/>
      <c r="R67" s="31"/>
      <c r="S67" s="31"/>
      <c r="T67" s="31"/>
      <c r="U67" s="31"/>
      <c r="V67" s="31"/>
      <c r="W67" s="55">
        <v>48</v>
      </c>
      <c r="X67" s="80">
        <v>459.43918021725204</v>
      </c>
      <c r="Y67" s="80">
        <v>47</v>
      </c>
      <c r="Z67" s="80">
        <v>888.73759028387269</v>
      </c>
      <c r="AA67" s="80">
        <v>193.3113343589948</v>
      </c>
      <c r="AB67" s="80">
        <v>841.73759028387269</v>
      </c>
      <c r="AC67" s="80">
        <v>513.0126876327073</v>
      </c>
      <c r="AD67" s="55">
        <v>4</v>
      </c>
      <c r="AE67" s="31"/>
      <c r="AF67" s="31"/>
      <c r="AG67" s="46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U67" s="59"/>
      <c r="BV67" s="59"/>
      <c r="BW67" s="59"/>
      <c r="BX67" s="59"/>
      <c r="BY67" s="59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</row>
    <row r="68" spans="1:91" x14ac:dyDescent="0.2">
      <c r="A68" s="31"/>
      <c r="B68" s="67">
        <v>49</v>
      </c>
      <c r="C68" s="51">
        <v>4</v>
      </c>
      <c r="D68" s="55">
        <v>7</v>
      </c>
      <c r="E68" s="37">
        <v>7</v>
      </c>
      <c r="F68" s="37">
        <f t="shared" si="29"/>
        <v>0</v>
      </c>
      <c r="G68" s="37" cm="1">
        <f t="array" ref="G68">IF(E68&lt;=INDEX($B$4:$B$17,C68),1,0)</f>
        <v>0</v>
      </c>
      <c r="H68" s="120">
        <f t="shared" ca="1" si="31"/>
        <v>0</v>
      </c>
      <c r="I68" s="38">
        <f>IF(AND(sat_working=TRUE,E68=6),ROUNDDOWN(AVERAGE('Data for 2021'!I62:I66),0),'Data for 2021'!I67)</f>
        <v>0</v>
      </c>
      <c r="J68" s="80">
        <f t="shared" ca="1" si="16"/>
        <v>369</v>
      </c>
      <c r="K68" s="80">
        <f t="shared" ca="1" si="30"/>
        <v>369</v>
      </c>
      <c r="L68" s="55">
        <f t="shared" ca="1" si="32"/>
        <v>0</v>
      </c>
      <c r="M68" s="55" t="str">
        <f t="shared" ca="1" si="17"/>
        <v/>
      </c>
      <c r="N68" s="55"/>
      <c r="O68" s="31"/>
      <c r="P68" s="31"/>
      <c r="Q68" s="31"/>
      <c r="R68" s="31"/>
      <c r="S68" s="31"/>
      <c r="T68" s="31"/>
      <c r="U68" s="31"/>
      <c r="V68" s="31"/>
      <c r="W68" s="55">
        <v>49</v>
      </c>
      <c r="X68" s="80">
        <v>585.34045641253181</v>
      </c>
      <c r="Y68" s="80">
        <v>47</v>
      </c>
      <c r="Z68" s="80">
        <v>1123.354995688836</v>
      </c>
      <c r="AA68" s="80">
        <v>300.69506956536929</v>
      </c>
      <c r="AB68" s="80">
        <v>1076.354995688836</v>
      </c>
      <c r="AC68" s="80">
        <v>745.50840790752522</v>
      </c>
      <c r="AD68" s="55">
        <v>1</v>
      </c>
      <c r="AE68" s="31"/>
      <c r="AF68" s="31"/>
      <c r="AG68" s="46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U68" s="59"/>
      <c r="BV68" s="59"/>
      <c r="BW68" s="59"/>
      <c r="BX68" s="59"/>
      <c r="BY68" s="59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</row>
    <row r="69" spans="1:91" x14ac:dyDescent="0.2">
      <c r="A69" s="31"/>
      <c r="B69" s="70">
        <v>50</v>
      </c>
      <c r="C69" s="51">
        <v>4</v>
      </c>
      <c r="D69" s="55">
        <v>8</v>
      </c>
      <c r="E69" s="35">
        <v>1</v>
      </c>
      <c r="F69" s="35">
        <f t="shared" si="29"/>
        <v>1</v>
      </c>
      <c r="G69" s="37" cm="1">
        <f t="array" ref="G69">IF(E69&lt;=INDEX($B$4:$B$17,C69),1,0)</f>
        <v>1</v>
      </c>
      <c r="H69" s="120">
        <f t="shared" ca="1" si="31"/>
        <v>145.89229701364536</v>
      </c>
      <c r="I69" s="38">
        <f>IF(AND(sat_working=TRUE,E69=6),ROUNDDOWN(AVERAGE('Data for 2021'!I63:I67),0),'Data for 2021'!I68)</f>
        <v>93</v>
      </c>
      <c r="J69" s="80">
        <f t="shared" ca="1" si="16"/>
        <v>369</v>
      </c>
      <c r="K69" s="80">
        <f t="shared" ca="1" si="30"/>
        <v>316.10770298635464</v>
      </c>
      <c r="L69" s="55">
        <f t="shared" ca="1" si="32"/>
        <v>0</v>
      </c>
      <c r="M69" s="55" t="str">
        <f t="shared" ca="1" si="17"/>
        <v/>
      </c>
      <c r="N69" s="55"/>
      <c r="O69" s="31"/>
      <c r="P69" s="31"/>
      <c r="Q69" s="31"/>
      <c r="R69" s="31"/>
      <c r="S69" s="31"/>
      <c r="T69" s="31"/>
      <c r="U69" s="31"/>
      <c r="V69" s="31"/>
      <c r="W69" s="55">
        <v>50</v>
      </c>
      <c r="X69" s="80">
        <v>468.55809389197611</v>
      </c>
      <c r="Y69" s="80">
        <v>39.905199974311159</v>
      </c>
      <c r="Z69" s="80">
        <v>795.18089423054414</v>
      </c>
      <c r="AA69" s="80">
        <v>189.0214573993868</v>
      </c>
      <c r="AB69" s="80">
        <v>755.27569425623301</v>
      </c>
      <c r="AC69" s="80">
        <v>450.00579802601442</v>
      </c>
      <c r="AD69" s="55">
        <v>2</v>
      </c>
      <c r="AE69" s="31"/>
      <c r="AF69" s="31"/>
      <c r="AG69" s="46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U69" s="59"/>
      <c r="BV69" s="59"/>
      <c r="BW69" s="59"/>
      <c r="BX69" s="59"/>
      <c r="BY69" s="59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</row>
    <row r="70" spans="1:91" x14ac:dyDescent="0.2">
      <c r="A70" s="31"/>
      <c r="B70" s="67">
        <v>51</v>
      </c>
      <c r="C70" s="51">
        <v>4</v>
      </c>
      <c r="D70" s="55">
        <v>9</v>
      </c>
      <c r="E70" s="37">
        <v>2</v>
      </c>
      <c r="F70" s="37">
        <f t="shared" si="29"/>
        <v>1</v>
      </c>
      <c r="G70" s="37" cm="1">
        <f t="array" ref="G70">IF(E70&lt;=INDEX($B$4:$B$17,C70),1,0)</f>
        <v>1</v>
      </c>
      <c r="H70" s="120">
        <f t="shared" ca="1" si="31"/>
        <v>160.50068229530555</v>
      </c>
      <c r="I70" s="38">
        <f>IF(AND(sat_working=TRUE,E70=6),ROUNDDOWN(AVERAGE('Data for 2021'!I64:I68),0),'Data for 2021'!I69)</f>
        <v>151</v>
      </c>
      <c r="J70" s="80">
        <f t="shared" ca="1" si="16"/>
        <v>316.10770298635464</v>
      </c>
      <c r="K70" s="80">
        <f t="shared" ca="1" si="30"/>
        <v>306.60702069104912</v>
      </c>
      <c r="L70" s="55">
        <f t="shared" ca="1" si="32"/>
        <v>0</v>
      </c>
      <c r="M70" s="55">
        <f t="shared" ca="1" si="17"/>
        <v>145.89229701364536</v>
      </c>
      <c r="N70" s="55"/>
      <c r="O70" s="31"/>
      <c r="P70" s="31"/>
      <c r="Q70" s="31"/>
      <c r="R70" s="31"/>
      <c r="S70" s="31"/>
      <c r="T70" s="31"/>
      <c r="U70" s="31"/>
      <c r="V70" s="31"/>
      <c r="W70" s="55">
        <v>51</v>
      </c>
      <c r="X70" s="80">
        <v>547.49735751252319</v>
      </c>
      <c r="Y70" s="80">
        <v>47</v>
      </c>
      <c r="Z70" s="80">
        <v>959.72555613498025</v>
      </c>
      <c r="AA70" s="80">
        <v>203.48585190777928</v>
      </c>
      <c r="AB70" s="80">
        <v>912.72555613498025</v>
      </c>
      <c r="AC70" s="80">
        <v>587.95372593773538</v>
      </c>
      <c r="AD70" s="55">
        <v>1</v>
      </c>
      <c r="AE70" s="31"/>
      <c r="AF70" s="31"/>
      <c r="AG70" s="46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U70" s="59"/>
      <c r="BV70" s="59"/>
      <c r="BW70" s="59"/>
      <c r="BX70" s="59"/>
      <c r="BY70" s="59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</row>
    <row r="71" spans="1:91" x14ac:dyDescent="0.2">
      <c r="A71" s="31"/>
      <c r="B71" s="70">
        <v>52</v>
      </c>
      <c r="C71" s="51">
        <v>4</v>
      </c>
      <c r="D71" s="55">
        <v>10</v>
      </c>
      <c r="E71" s="37">
        <v>3</v>
      </c>
      <c r="F71" s="37">
        <f t="shared" si="29"/>
        <v>1</v>
      </c>
      <c r="G71" s="37" cm="1">
        <f t="array" ref="G71">IF(E71&lt;=INDEX($B$4:$B$17,C71),1,0)</f>
        <v>1</v>
      </c>
      <c r="H71" s="120">
        <f t="shared" ca="1" si="31"/>
        <v>155.31154844886956</v>
      </c>
      <c r="I71" s="38">
        <f>IF(AND(sat_working=TRUE,E71=6),ROUNDDOWN(AVERAGE('Data for 2021'!I65:I69),0),'Data for 2021'!I70)</f>
        <v>131</v>
      </c>
      <c r="J71" s="80">
        <f t="shared" ca="1" si="16"/>
        <v>306.60702069104912</v>
      </c>
      <c r="K71" s="80">
        <f t="shared" ca="1" si="30"/>
        <v>282.29547224217959</v>
      </c>
      <c r="L71" s="55">
        <f t="shared" ca="1" si="32"/>
        <v>0</v>
      </c>
      <c r="M71" s="55">
        <f t="shared" ca="1" si="17"/>
        <v>160.50068229530555</v>
      </c>
      <c r="N71" s="55"/>
      <c r="O71" s="31"/>
      <c r="P71" s="31"/>
      <c r="Q71" s="31"/>
      <c r="R71" s="31"/>
      <c r="S71" s="31"/>
      <c r="T71" s="31"/>
      <c r="U71" s="31"/>
      <c r="V71" s="31"/>
      <c r="W71" s="55">
        <v>52</v>
      </c>
      <c r="X71" s="80">
        <v>686.16692448158972</v>
      </c>
      <c r="Y71" s="80">
        <v>44.331121079260868</v>
      </c>
      <c r="Z71" s="80">
        <v>1317.913453211183</v>
      </c>
      <c r="AA71" s="80">
        <v>350.75593049947673</v>
      </c>
      <c r="AB71" s="80">
        <v>1273.5823321319222</v>
      </c>
      <c r="AC71" s="80">
        <v>1028.2192792086503</v>
      </c>
      <c r="AD71" s="55">
        <v>2</v>
      </c>
      <c r="AE71" s="31"/>
      <c r="AF71" s="31"/>
      <c r="AG71" s="46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U71" s="59"/>
      <c r="BV71" s="59"/>
      <c r="BW71" s="59"/>
      <c r="BX71" s="59"/>
      <c r="BY71" s="59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</row>
    <row r="72" spans="1:91" x14ac:dyDescent="0.2">
      <c r="A72" s="31"/>
      <c r="B72" s="67">
        <v>53</v>
      </c>
      <c r="C72" s="51">
        <v>4</v>
      </c>
      <c r="D72" s="55">
        <v>11</v>
      </c>
      <c r="E72" s="37">
        <v>4</v>
      </c>
      <c r="F72" s="37">
        <f t="shared" si="29"/>
        <v>1</v>
      </c>
      <c r="G72" s="37" cm="1">
        <f t="array" ref="G72">IF(E72&lt;=INDEX($B$4:$B$17,C72),1,0)</f>
        <v>1</v>
      </c>
      <c r="H72" s="120">
        <f t="shared" ca="1" si="31"/>
        <v>129.67236256505578</v>
      </c>
      <c r="I72" s="38">
        <f>IF(AND(sat_working=TRUE,E72=6),ROUNDDOWN(AVERAGE('Data for 2021'!I66:I70),0),'Data for 2021'!I71)</f>
        <v>125</v>
      </c>
      <c r="J72" s="80">
        <f t="shared" ca="1" si="16"/>
        <v>282.29547224217959</v>
      </c>
      <c r="K72" s="80">
        <f t="shared" ca="1" si="30"/>
        <v>277.62310967712381</v>
      </c>
      <c r="L72" s="55">
        <f t="shared" ca="1" si="32"/>
        <v>0</v>
      </c>
      <c r="M72" s="55">
        <f t="shared" ca="1" si="17"/>
        <v>155.31154844886956</v>
      </c>
      <c r="N72" s="55"/>
      <c r="O72" s="31"/>
      <c r="P72" s="31"/>
      <c r="Q72" s="31"/>
      <c r="R72" s="31"/>
      <c r="S72" s="31"/>
      <c r="T72" s="31"/>
      <c r="U72" s="31"/>
      <c r="V72" s="31"/>
      <c r="W72" s="55">
        <v>53</v>
      </c>
      <c r="X72" s="80">
        <v>409.86087810544313</v>
      </c>
      <c r="Y72" s="80">
        <v>47</v>
      </c>
      <c r="Z72" s="80">
        <v>677.32990003788655</v>
      </c>
      <c r="AA72" s="80">
        <v>142.79934883729976</v>
      </c>
      <c r="AB72" s="80">
        <v>630.32990003788655</v>
      </c>
      <c r="AC72" s="80">
        <v>133.11055783389472</v>
      </c>
      <c r="AD72" s="55">
        <v>1</v>
      </c>
      <c r="AE72" s="31"/>
      <c r="AF72" s="31"/>
      <c r="AG72" s="46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U72" s="59"/>
      <c r="BV72" s="59"/>
      <c r="BW72" s="59"/>
      <c r="BX72" s="59"/>
      <c r="BY72" s="59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</row>
    <row r="73" spans="1:91" x14ac:dyDescent="0.2">
      <c r="A73" s="31"/>
      <c r="B73" s="70">
        <v>54</v>
      </c>
      <c r="C73" s="51">
        <v>4</v>
      </c>
      <c r="D73" s="55">
        <v>12</v>
      </c>
      <c r="E73" s="37">
        <v>5</v>
      </c>
      <c r="F73" s="37">
        <f t="shared" si="29"/>
        <v>1</v>
      </c>
      <c r="G73" s="37" cm="1">
        <f t="array" ref="G73">IF(E73&lt;=INDEX($B$4:$B$17,C73),1,0)</f>
        <v>0</v>
      </c>
      <c r="H73" s="120">
        <f t="shared" ca="1" si="31"/>
        <v>0</v>
      </c>
      <c r="I73" s="38">
        <f>IF(AND(sat_working=TRUE,E73=6),ROUNDDOWN(AVERAGE('Data for 2021'!I67:I71),0),'Data for 2021'!I72)</f>
        <v>99</v>
      </c>
      <c r="J73" s="80">
        <f t="shared" ca="1" si="16"/>
        <v>277.62310967712381</v>
      </c>
      <c r="K73" s="80">
        <f t="shared" ca="1" si="30"/>
        <v>376.62310967712381</v>
      </c>
      <c r="L73" s="55">
        <f t="shared" ca="1" si="32"/>
        <v>0</v>
      </c>
      <c r="M73" s="55">
        <f t="shared" ca="1" si="17"/>
        <v>129.67236256505578</v>
      </c>
      <c r="N73" s="55"/>
      <c r="O73" s="31"/>
      <c r="P73" s="31"/>
      <c r="Q73" s="31"/>
      <c r="R73" s="31"/>
      <c r="S73" s="31"/>
      <c r="T73" s="31"/>
      <c r="U73" s="31"/>
      <c r="V73" s="31"/>
      <c r="W73" s="55">
        <v>54</v>
      </c>
      <c r="X73" s="80">
        <v>753.88915841592518</v>
      </c>
      <c r="Y73" s="80">
        <v>47</v>
      </c>
      <c r="Z73" s="80">
        <v>1327.1728941652552</v>
      </c>
      <c r="AA73" s="80">
        <v>331.4095534264801</v>
      </c>
      <c r="AB73" s="80">
        <v>1280.1728941652552</v>
      </c>
      <c r="AC73" s="80">
        <v>925.46546788370154</v>
      </c>
      <c r="AD73" s="55">
        <v>1</v>
      </c>
      <c r="AE73" s="31"/>
      <c r="AF73" s="31"/>
      <c r="AG73" s="46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U73" s="59"/>
      <c r="BV73" s="59"/>
      <c r="BW73" s="59"/>
      <c r="BX73" s="59"/>
      <c r="BY73" s="59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</row>
    <row r="74" spans="1:91" x14ac:dyDescent="0.2">
      <c r="A74" s="31"/>
      <c r="B74" s="67">
        <v>55</v>
      </c>
      <c r="C74" s="51">
        <v>4</v>
      </c>
      <c r="D74" s="55">
        <v>13</v>
      </c>
      <c r="E74" s="37">
        <v>6</v>
      </c>
      <c r="F74" s="37">
        <f t="shared" si="29"/>
        <v>1</v>
      </c>
      <c r="G74" s="37" cm="1">
        <f t="array" ref="G74">IF(E74&lt;=INDEX($B$4:$B$17,C74),1,0)</f>
        <v>0</v>
      </c>
      <c r="H74" s="120">
        <f t="shared" ca="1" si="31"/>
        <v>0</v>
      </c>
      <c r="I74" s="38">
        <f>I67</f>
        <v>115</v>
      </c>
      <c r="J74" s="80">
        <f t="shared" ca="1" si="16"/>
        <v>376.62310967712381</v>
      </c>
      <c r="K74" s="80">
        <f t="shared" ca="1" si="30"/>
        <v>491.62310967712381</v>
      </c>
      <c r="L74" s="55">
        <f t="shared" ca="1" si="32"/>
        <v>0</v>
      </c>
      <c r="M74" s="55" t="str">
        <f t="shared" ca="1" si="17"/>
        <v/>
      </c>
      <c r="N74" s="55"/>
      <c r="O74" s="31"/>
      <c r="P74" s="31"/>
      <c r="Q74" s="31"/>
      <c r="R74" s="31"/>
      <c r="S74" s="31"/>
      <c r="T74" s="31"/>
      <c r="U74" s="31"/>
      <c r="V74" s="31"/>
      <c r="W74" s="55">
        <v>55</v>
      </c>
      <c r="X74" s="80">
        <v>703.20459521443502</v>
      </c>
      <c r="Y74" s="80">
        <v>47</v>
      </c>
      <c r="Z74" s="80">
        <v>1231.9043362705072</v>
      </c>
      <c r="AA74" s="80">
        <v>322.35521229331738</v>
      </c>
      <c r="AB74" s="80">
        <v>1184.9043362705072</v>
      </c>
      <c r="AC74" s="80">
        <v>852.39430451766464</v>
      </c>
      <c r="AD74" s="55">
        <v>1</v>
      </c>
      <c r="AE74" s="31"/>
      <c r="AF74" s="31"/>
      <c r="AG74" s="46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U74" s="59"/>
      <c r="BV74" s="59"/>
      <c r="BW74" s="59"/>
      <c r="BX74" s="59"/>
      <c r="BY74" s="59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</row>
    <row r="75" spans="1:91" x14ac:dyDescent="0.2">
      <c r="A75" s="31"/>
      <c r="B75" s="70">
        <v>56</v>
      </c>
      <c r="C75" s="52">
        <v>4</v>
      </c>
      <c r="D75" s="57">
        <v>14</v>
      </c>
      <c r="E75" s="37">
        <v>7</v>
      </c>
      <c r="F75" s="37">
        <f t="shared" si="29"/>
        <v>0</v>
      </c>
      <c r="G75" s="37" cm="1">
        <f t="array" ref="G75">IF(E75&lt;=INDEX($B$4:$B$17,C75),1,0)</f>
        <v>0</v>
      </c>
      <c r="H75" s="120">
        <f t="shared" ca="1" si="31"/>
        <v>0</v>
      </c>
      <c r="I75" s="38">
        <f>IF(AND(sat_working=TRUE,E75=6),ROUNDDOWN(AVERAGE('Data for 2021'!I69:I73),0),'Data for 2021'!I74)</f>
        <v>0</v>
      </c>
      <c r="J75" s="80">
        <f t="shared" ca="1" si="16"/>
        <v>491.62310967712381</v>
      </c>
      <c r="K75" s="80">
        <f t="shared" ca="1" si="30"/>
        <v>491.62310967712381</v>
      </c>
      <c r="L75" s="55">
        <f t="shared" ca="1" si="32"/>
        <v>0</v>
      </c>
      <c r="M75" s="55" t="str">
        <f t="shared" ca="1" si="17"/>
        <v/>
      </c>
      <c r="N75" s="55"/>
      <c r="O75" s="31"/>
      <c r="P75" s="31"/>
      <c r="Q75" s="31"/>
      <c r="R75" s="31"/>
      <c r="S75" s="31"/>
      <c r="T75" s="31"/>
      <c r="U75" s="31"/>
      <c r="V75" s="31"/>
      <c r="W75" s="55">
        <v>56</v>
      </c>
      <c r="X75" s="80">
        <v>729.01320736821947</v>
      </c>
      <c r="Y75" s="80">
        <v>47</v>
      </c>
      <c r="Z75" s="80">
        <v>1310.7130581195645</v>
      </c>
      <c r="AA75" s="80">
        <v>332.95449754585513</v>
      </c>
      <c r="AB75" s="80">
        <v>1263.7130581195645</v>
      </c>
      <c r="AC75" s="80">
        <v>1047.8585896920033</v>
      </c>
      <c r="AD75" s="55">
        <v>1</v>
      </c>
      <c r="AE75" s="31"/>
      <c r="AF75" s="31"/>
      <c r="AG75" s="46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U75" s="59"/>
      <c r="BV75" s="59"/>
      <c r="BW75" s="59"/>
      <c r="BX75" s="59"/>
      <c r="BY75" s="59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</row>
    <row r="76" spans="1:91" x14ac:dyDescent="0.2">
      <c r="A76" s="31" t="s">
        <v>96</v>
      </c>
      <c r="B76" s="67">
        <v>57</v>
      </c>
      <c r="C76" s="50">
        <v>5</v>
      </c>
      <c r="D76" s="53">
        <v>1</v>
      </c>
      <c r="E76" s="35">
        <v>1</v>
      </c>
      <c r="F76" s="35">
        <f t="shared" si="29"/>
        <v>1</v>
      </c>
      <c r="G76" s="35" cm="1">
        <f t="array" ref="G76">IF(E76&lt;=INDEX($B$4:$B$17,C76),1,0)</f>
        <v>1</v>
      </c>
      <c r="H76" s="120">
        <f t="shared" ca="1" si="31"/>
        <v>139.94969070070647</v>
      </c>
      <c r="I76" s="38">
        <f>IF(AND(sat_working=TRUE,E76=6),ROUNDDOWN(AVERAGE('Data for 2021'!I70:I74),0),'Data for 2021'!I75)</f>
        <v>125</v>
      </c>
      <c r="J76" s="80">
        <f t="shared" ca="1" si="16"/>
        <v>491.62310967712381</v>
      </c>
      <c r="K76" s="80">
        <f t="shared" ca="1" si="30"/>
        <v>476.67341897641734</v>
      </c>
      <c r="L76" s="55">
        <f t="shared" ca="1" si="32"/>
        <v>0</v>
      </c>
      <c r="M76" s="55" t="str">
        <f t="shared" ca="1" si="17"/>
        <v/>
      </c>
      <c r="N76" s="55"/>
      <c r="O76" s="31"/>
      <c r="P76" s="31"/>
      <c r="Q76" s="31"/>
      <c r="R76" s="31"/>
      <c r="S76" s="31"/>
      <c r="T76" s="31"/>
      <c r="U76" s="31"/>
      <c r="V76" s="31"/>
      <c r="W76" s="55">
        <v>57</v>
      </c>
      <c r="X76" s="80">
        <v>454.61581386244217</v>
      </c>
      <c r="Y76" s="80">
        <v>47</v>
      </c>
      <c r="Z76" s="80">
        <v>833.87865930865303</v>
      </c>
      <c r="AA76" s="80">
        <v>192.06741924180363</v>
      </c>
      <c r="AB76" s="80">
        <v>786.87865930865303</v>
      </c>
      <c r="AC76" s="80">
        <v>295.67389707677182</v>
      </c>
      <c r="AD76" s="55">
        <v>1</v>
      </c>
      <c r="AE76" s="31"/>
      <c r="AF76" s="31"/>
      <c r="AG76" s="46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U76" s="59"/>
      <c r="BV76" s="59"/>
      <c r="BW76" s="59"/>
      <c r="BX76" s="59"/>
      <c r="BY76" s="59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</row>
    <row r="77" spans="1:91" x14ac:dyDescent="0.2">
      <c r="A77" s="31"/>
      <c r="B77" s="70">
        <v>58</v>
      </c>
      <c r="C77" s="51">
        <v>5</v>
      </c>
      <c r="D77" s="55">
        <v>2</v>
      </c>
      <c r="E77" s="37">
        <v>2</v>
      </c>
      <c r="F77" s="37">
        <f t="shared" si="29"/>
        <v>1</v>
      </c>
      <c r="G77" s="37" cm="1">
        <f t="array" ref="G77">IF(E77&lt;=INDEX($B$4:$B$17,C77),1,0)</f>
        <v>1</v>
      </c>
      <c r="H77" s="120">
        <f t="shared" ca="1" si="31"/>
        <v>169.99483730125633</v>
      </c>
      <c r="I77" s="38">
        <f>IF(AND(sat_working=TRUE,E77=6),ROUNDDOWN(AVERAGE('Data for 2021'!I71:I75),0),'Data for 2021'!I76)</f>
        <v>95</v>
      </c>
      <c r="J77" s="80">
        <f t="shared" ca="1" si="16"/>
        <v>476.67341897641734</v>
      </c>
      <c r="K77" s="80">
        <f t="shared" ca="1" si="30"/>
        <v>401.67858167516101</v>
      </c>
      <c r="L77" s="55">
        <f t="shared" ca="1" si="32"/>
        <v>0</v>
      </c>
      <c r="M77" s="55">
        <f t="shared" ca="1" si="17"/>
        <v>139.94969070070647</v>
      </c>
      <c r="N77" s="55"/>
      <c r="O77" s="31"/>
      <c r="P77" s="31"/>
      <c r="Q77" s="31"/>
      <c r="R77" s="31"/>
      <c r="S77" s="31"/>
      <c r="T77" s="31"/>
      <c r="U77" s="31"/>
      <c r="V77" s="31"/>
      <c r="W77" s="55">
        <v>58</v>
      </c>
      <c r="X77" s="80">
        <v>363.99083167646842</v>
      </c>
      <c r="Y77" s="80">
        <v>35.273800969110937</v>
      </c>
      <c r="Z77" s="80">
        <v>559.39685948575425</v>
      </c>
      <c r="AA77" s="80">
        <v>118.04177112484264</v>
      </c>
      <c r="AB77" s="80">
        <v>524.12305851664337</v>
      </c>
      <c r="AC77" s="80">
        <v>35.273800969110937</v>
      </c>
      <c r="AD77" s="55">
        <v>4</v>
      </c>
      <c r="AE77" s="31"/>
      <c r="AF77" s="31"/>
      <c r="AG77" s="46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U77" s="59"/>
      <c r="BV77" s="59"/>
      <c r="BW77" s="59"/>
      <c r="BX77" s="59"/>
      <c r="BY77" s="59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</row>
    <row r="78" spans="1:91" x14ac:dyDescent="0.2">
      <c r="A78" s="31"/>
      <c r="B78" s="67">
        <v>59</v>
      </c>
      <c r="C78" s="51">
        <v>5</v>
      </c>
      <c r="D78" s="55">
        <v>3</v>
      </c>
      <c r="E78" s="37">
        <v>3</v>
      </c>
      <c r="F78" s="37">
        <f t="shared" si="29"/>
        <v>1</v>
      </c>
      <c r="G78" s="37" cm="1">
        <f t="array" ref="G78">IF(E78&lt;=INDEX($B$4:$B$17,C78),1,0)</f>
        <v>1</v>
      </c>
      <c r="H78" s="120">
        <f t="shared" ca="1" si="31"/>
        <v>160.90851134822148</v>
      </c>
      <c r="I78" s="38">
        <f>IF(AND(sat_working=TRUE,E78=6),ROUNDDOWN(AVERAGE('Data for 2021'!I72:I76),0),'Data for 2021'!I77)</f>
        <v>119</v>
      </c>
      <c r="J78" s="80">
        <f t="shared" ca="1" si="16"/>
        <v>401.67858167516101</v>
      </c>
      <c r="K78" s="80">
        <f t="shared" ca="1" si="30"/>
        <v>359.7700703269395</v>
      </c>
      <c r="L78" s="55">
        <f t="shared" ca="1" si="32"/>
        <v>0</v>
      </c>
      <c r="M78" s="55">
        <f t="shared" ca="1" si="17"/>
        <v>169.99483730125633</v>
      </c>
      <c r="N78" s="55"/>
      <c r="O78" s="31"/>
      <c r="P78" s="31"/>
      <c r="Q78" s="31"/>
      <c r="R78" s="31"/>
      <c r="S78" s="31"/>
      <c r="T78" s="31"/>
      <c r="U78" s="31"/>
      <c r="V78" s="31"/>
      <c r="W78" s="55">
        <v>59</v>
      </c>
      <c r="X78" s="80">
        <v>768.11967985391561</v>
      </c>
      <c r="Y78" s="80">
        <v>47</v>
      </c>
      <c r="Z78" s="80">
        <v>1496.2262021080121</v>
      </c>
      <c r="AA78" s="80">
        <v>414.72464114345075</v>
      </c>
      <c r="AB78" s="80">
        <v>1449.2262021080121</v>
      </c>
      <c r="AC78" s="80">
        <v>1202.9435837796632</v>
      </c>
      <c r="AD78" s="55">
        <v>1</v>
      </c>
      <c r="AE78" s="31"/>
      <c r="AF78" s="31"/>
      <c r="AG78" s="46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U78" s="59"/>
      <c r="BV78" s="59"/>
      <c r="BW78" s="59"/>
      <c r="BX78" s="59"/>
      <c r="BY78" s="59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</row>
    <row r="79" spans="1:91" x14ac:dyDescent="0.2">
      <c r="A79" s="31"/>
      <c r="B79" s="70">
        <v>60</v>
      </c>
      <c r="C79" s="51">
        <v>5</v>
      </c>
      <c r="D79" s="55">
        <v>4</v>
      </c>
      <c r="E79" s="37">
        <v>4</v>
      </c>
      <c r="F79" s="37">
        <f t="shared" si="29"/>
        <v>1</v>
      </c>
      <c r="G79" s="37" cm="1">
        <f t="array" ref="G79">IF(E79&lt;=INDEX($B$4:$B$17,C79),1,0)</f>
        <v>1</v>
      </c>
      <c r="H79" s="120">
        <f t="shared" ca="1" si="31"/>
        <v>213.54178552815063</v>
      </c>
      <c r="I79" s="38">
        <f>IF(AND(sat_working=TRUE,E79=6),ROUNDDOWN(AVERAGE('Data for 2021'!I73:I77),0),'Data for 2021'!I78)</f>
        <v>126</v>
      </c>
      <c r="J79" s="80">
        <f t="shared" ca="1" si="16"/>
        <v>359.7700703269395</v>
      </c>
      <c r="K79" s="80">
        <f t="shared" ca="1" si="30"/>
        <v>272.22828479878888</v>
      </c>
      <c r="L79" s="55">
        <f t="shared" ca="1" si="32"/>
        <v>0</v>
      </c>
      <c r="M79" s="55">
        <f t="shared" ca="1" si="17"/>
        <v>160.90851134822148</v>
      </c>
      <c r="N79" s="55"/>
      <c r="O79" s="31"/>
      <c r="P79" s="31"/>
      <c r="Q79" s="31"/>
      <c r="R79" s="31"/>
      <c r="S79" s="31"/>
      <c r="T79" s="31"/>
      <c r="U79" s="31"/>
      <c r="V79" s="31"/>
      <c r="W79" s="55">
        <v>60</v>
      </c>
      <c r="X79" s="80">
        <v>744.65457326981686</v>
      </c>
      <c r="Y79" s="80">
        <v>47</v>
      </c>
      <c r="Z79" s="80">
        <v>1308.4355190192543</v>
      </c>
      <c r="AA79" s="80">
        <v>313.36275553168531</v>
      </c>
      <c r="AB79" s="80">
        <v>1261.4355190192543</v>
      </c>
      <c r="AC79" s="80">
        <v>1065.7209549153968</v>
      </c>
      <c r="AD79" s="55">
        <v>1</v>
      </c>
      <c r="AE79" s="31"/>
      <c r="AF79" s="31"/>
      <c r="AG79" s="46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U79" s="59"/>
      <c r="BV79" s="59"/>
      <c r="BW79" s="59"/>
      <c r="BX79" s="59"/>
      <c r="BY79" s="59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</row>
    <row r="80" spans="1:91" x14ac:dyDescent="0.2">
      <c r="A80" s="31"/>
      <c r="B80" s="67">
        <v>61</v>
      </c>
      <c r="C80" s="51">
        <v>5</v>
      </c>
      <c r="D80" s="55">
        <v>5</v>
      </c>
      <c r="E80" s="37">
        <v>5</v>
      </c>
      <c r="F80" s="37">
        <f t="shared" si="29"/>
        <v>1</v>
      </c>
      <c r="G80" s="37" cm="1">
        <f t="array" ref="G80">IF(E80&lt;=INDEX($B$4:$B$17,C80),1,0)</f>
        <v>1</v>
      </c>
      <c r="H80" s="120">
        <f t="shared" ca="1" si="31"/>
        <v>176.29066357382555</v>
      </c>
      <c r="I80" s="38">
        <f>IF(AND(sat_working=TRUE,E80=6),ROUNDDOWN(AVERAGE('Data for 2021'!I74:I78),0),'Data for 2021'!I79)</f>
        <v>108</v>
      </c>
      <c r="J80" s="80">
        <f t="shared" ca="1" si="16"/>
        <v>272.22828479878888</v>
      </c>
      <c r="K80" s="80">
        <f t="shared" ca="1" si="30"/>
        <v>203.93762122496332</v>
      </c>
      <c r="L80" s="55">
        <f t="shared" ca="1" si="32"/>
        <v>0</v>
      </c>
      <c r="M80" s="55">
        <f t="shared" ca="1" si="17"/>
        <v>213.54178552815063</v>
      </c>
      <c r="N80" s="55"/>
      <c r="O80" s="31"/>
      <c r="P80" s="31"/>
      <c r="Q80" s="31"/>
      <c r="R80" s="31"/>
      <c r="S80" s="31"/>
      <c r="T80" s="31"/>
      <c r="U80" s="31"/>
      <c r="V80" s="31"/>
      <c r="W80" s="55">
        <v>61</v>
      </c>
      <c r="X80" s="80">
        <v>587.46428959624427</v>
      </c>
      <c r="Y80" s="80">
        <v>47</v>
      </c>
      <c r="Z80" s="80">
        <v>972.82886797346816</v>
      </c>
      <c r="AA80" s="80">
        <v>235.07294989385352</v>
      </c>
      <c r="AB80" s="80">
        <v>925.82886797346816</v>
      </c>
      <c r="AC80" s="80">
        <v>585.25261879187747</v>
      </c>
      <c r="AD80" s="55">
        <v>1</v>
      </c>
      <c r="AE80" s="31"/>
      <c r="AF80" s="31"/>
      <c r="AG80" s="46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U80" s="59"/>
      <c r="BV80" s="59"/>
      <c r="BW80" s="59"/>
      <c r="BX80" s="59"/>
      <c r="BY80" s="59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</row>
    <row r="81" spans="1:91" x14ac:dyDescent="0.2">
      <c r="A81" s="31"/>
      <c r="B81" s="70">
        <v>62</v>
      </c>
      <c r="C81" s="51">
        <v>5</v>
      </c>
      <c r="D81" s="55">
        <v>6</v>
      </c>
      <c r="E81" s="37">
        <v>6</v>
      </c>
      <c r="F81" s="37">
        <f t="shared" si="29"/>
        <v>1</v>
      </c>
      <c r="G81" s="37" cm="1">
        <f t="array" ref="G81">IF(E81&lt;=INDEX($B$4:$B$17,C81),1,0)</f>
        <v>0</v>
      </c>
      <c r="H81" s="120">
        <f t="shared" ca="1" si="31"/>
        <v>0</v>
      </c>
      <c r="I81" s="38">
        <f>IF(AND(sat_working=TRUE,E81=6),ROUNDDOWN(AVERAGE('Data for 2021'!I75:I79,'Data for 2021'!I82:I86),0),'Data for 2021'!I80)</f>
        <v>139</v>
      </c>
      <c r="J81" s="80">
        <f t="shared" ca="1" si="16"/>
        <v>203.93762122496332</v>
      </c>
      <c r="K81" s="80">
        <f t="shared" ca="1" si="30"/>
        <v>342.93762122496332</v>
      </c>
      <c r="L81" s="55">
        <f t="shared" ca="1" si="32"/>
        <v>0</v>
      </c>
      <c r="M81" s="55">
        <f t="shared" ca="1" si="17"/>
        <v>176.29066357382555</v>
      </c>
      <c r="N81" s="55"/>
      <c r="O81" s="31"/>
      <c r="P81" s="31"/>
      <c r="Q81" s="31"/>
      <c r="R81" s="31"/>
      <c r="S81" s="31"/>
      <c r="T81" s="31"/>
      <c r="U81" s="31"/>
      <c r="V81" s="31"/>
      <c r="W81" s="55">
        <v>62</v>
      </c>
      <c r="X81" s="80">
        <v>503.53776594613873</v>
      </c>
      <c r="Y81" s="80">
        <v>47</v>
      </c>
      <c r="Z81" s="80">
        <v>871.02991443855421</v>
      </c>
      <c r="AA81" s="80">
        <v>199.70803972414328</v>
      </c>
      <c r="AB81" s="80">
        <v>824.02991443855421</v>
      </c>
      <c r="AC81" s="80">
        <v>442.62974471639819</v>
      </c>
      <c r="AD81" s="55">
        <v>1</v>
      </c>
      <c r="AE81" s="31"/>
      <c r="AF81" s="31"/>
      <c r="AG81" s="46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U81" s="59"/>
      <c r="BV81" s="59"/>
      <c r="BW81" s="59"/>
      <c r="BX81" s="59"/>
      <c r="BY81" s="59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</row>
    <row r="82" spans="1:91" x14ac:dyDescent="0.2">
      <c r="A82" s="31"/>
      <c r="B82" s="67">
        <v>63</v>
      </c>
      <c r="C82" s="51">
        <v>5</v>
      </c>
      <c r="D82" s="55">
        <v>7</v>
      </c>
      <c r="E82" s="37">
        <v>7</v>
      </c>
      <c r="F82" s="37">
        <f t="shared" si="29"/>
        <v>0</v>
      </c>
      <c r="G82" s="37" cm="1">
        <f t="array" ref="G82">IF(E82&lt;=INDEX($B$4:$B$17,C82),1,0)</f>
        <v>0</v>
      </c>
      <c r="H82" s="120">
        <f t="shared" ca="1" si="31"/>
        <v>0</v>
      </c>
      <c r="I82" s="38">
        <f>IF(AND(sat_working=TRUE,E82=6),ROUNDDOWN(AVERAGE('Data for 2021'!I76:I80),0),'Data for 2021'!I81)</f>
        <v>0</v>
      </c>
      <c r="J82" s="80">
        <f t="shared" ca="1" si="16"/>
        <v>342.93762122496332</v>
      </c>
      <c r="K82" s="80">
        <f t="shared" ca="1" si="30"/>
        <v>342.93762122496332</v>
      </c>
      <c r="L82" s="55">
        <f t="shared" ca="1" si="32"/>
        <v>0</v>
      </c>
      <c r="M82" s="55" t="str">
        <f t="shared" ca="1" si="17"/>
        <v/>
      </c>
      <c r="N82" s="55"/>
      <c r="O82" s="31"/>
      <c r="P82" s="31"/>
      <c r="Q82" s="31"/>
      <c r="R82" s="31"/>
      <c r="S82" s="31"/>
      <c r="T82" s="31"/>
      <c r="U82" s="31"/>
      <c r="V82" s="31"/>
      <c r="W82" s="55">
        <v>63</v>
      </c>
      <c r="X82" s="80">
        <v>629.93209666113796</v>
      </c>
      <c r="Y82" s="80">
        <v>47</v>
      </c>
      <c r="Z82" s="80">
        <v>1121.1307496857685</v>
      </c>
      <c r="AA82" s="80">
        <v>297.82502562893603</v>
      </c>
      <c r="AB82" s="80">
        <v>1074.1307496857685</v>
      </c>
      <c r="AC82" s="80">
        <v>744.37164417430131</v>
      </c>
      <c r="AD82" s="55">
        <v>4</v>
      </c>
      <c r="AE82" s="31"/>
      <c r="AF82" s="31"/>
      <c r="AG82" s="46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U82" s="59"/>
      <c r="BV82" s="59"/>
      <c r="BW82" s="59"/>
      <c r="BX82" s="59"/>
      <c r="BY82" s="59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</row>
    <row r="83" spans="1:91" x14ac:dyDescent="0.2">
      <c r="A83" s="31"/>
      <c r="B83" s="70">
        <v>64</v>
      </c>
      <c r="C83" s="51">
        <v>5</v>
      </c>
      <c r="D83" s="55">
        <v>8</v>
      </c>
      <c r="E83" s="35">
        <v>1</v>
      </c>
      <c r="F83" s="35">
        <f t="shared" si="29"/>
        <v>1</v>
      </c>
      <c r="G83" s="37" cm="1">
        <f t="array" ref="G83">IF(E83&lt;=INDEX($B$4:$B$17,C83),1,0)</f>
        <v>1</v>
      </c>
      <c r="H83" s="120">
        <f t="shared" ca="1" si="31"/>
        <v>161.72471684081759</v>
      </c>
      <c r="I83" s="38">
        <f>IF(AND(sat_working=TRUE,E83=6),ROUNDDOWN(AVERAGE('Data for 2021'!I77:I81),0),'Data for 2021'!I82)</f>
        <v>168</v>
      </c>
      <c r="J83" s="80">
        <f t="shared" ca="1" si="16"/>
        <v>342.93762122496332</v>
      </c>
      <c r="K83" s="80">
        <f t="shared" ca="1" si="30"/>
        <v>349.21290438414576</v>
      </c>
      <c r="L83" s="55">
        <f t="shared" ca="1" si="32"/>
        <v>0</v>
      </c>
      <c r="M83" s="55" t="str">
        <f t="shared" ca="1" si="17"/>
        <v/>
      </c>
      <c r="N83" s="55"/>
      <c r="O83" s="31"/>
      <c r="P83" s="31"/>
      <c r="Q83" s="31"/>
      <c r="R83" s="31"/>
      <c r="S83" s="31"/>
      <c r="T83" s="31"/>
      <c r="U83" s="31"/>
      <c r="V83" s="31"/>
      <c r="W83" s="55">
        <v>64</v>
      </c>
      <c r="X83" s="80">
        <v>545.64594640791097</v>
      </c>
      <c r="Y83" s="80">
        <v>47</v>
      </c>
      <c r="Z83" s="80">
        <v>918.85346642224965</v>
      </c>
      <c r="AA83" s="80">
        <v>229.94527046911531</v>
      </c>
      <c r="AB83" s="80">
        <v>871.85346642224965</v>
      </c>
      <c r="AC83" s="80">
        <v>527.44655921233391</v>
      </c>
      <c r="AD83" s="55">
        <v>2</v>
      </c>
      <c r="AE83" s="31"/>
      <c r="AF83" s="31"/>
      <c r="AG83" s="46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U83" s="59"/>
      <c r="BV83" s="59"/>
      <c r="BW83" s="59"/>
      <c r="BX83" s="59"/>
      <c r="BY83" s="59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</row>
    <row r="84" spans="1:91" x14ac:dyDescent="0.2">
      <c r="A84" s="31"/>
      <c r="B84" s="67">
        <v>65</v>
      </c>
      <c r="C84" s="51">
        <v>5</v>
      </c>
      <c r="D84" s="55">
        <v>9</v>
      </c>
      <c r="E84" s="37">
        <v>2</v>
      </c>
      <c r="F84" s="37">
        <f t="shared" ref="F84:F115" si="33">IF(OR(I84&lt;&gt;0,(AND(sat_working=TRUE,E84=6))),1,0)</f>
        <v>1</v>
      </c>
      <c r="G84" s="37" cm="1">
        <f t="array" ref="G84">IF(E84&lt;=INDEX($B$4:$B$17,C84),1,0)</f>
        <v>1</v>
      </c>
      <c r="H84" s="120">
        <f t="shared" ca="1" si="31"/>
        <v>168.98745173240891</v>
      </c>
      <c r="I84" s="38">
        <f>IF(AND(sat_working=TRUE,E84=6),ROUNDDOWN(AVERAGE('Data for 2021'!I78:I82),0),'Data for 2021'!I83)</f>
        <v>160</v>
      </c>
      <c r="J84" s="80">
        <f t="shared" ca="1" si="16"/>
        <v>349.21290438414576</v>
      </c>
      <c r="K84" s="80">
        <f t="shared" ref="K84:K115" ca="1" si="34">J84+I84-H84</f>
        <v>340.22545265173687</v>
      </c>
      <c r="L84" s="55">
        <f t="shared" ca="1" si="32"/>
        <v>0</v>
      </c>
      <c r="M84" s="55">
        <f t="shared" ca="1" si="17"/>
        <v>161.72471684081759</v>
      </c>
      <c r="N84" s="55"/>
      <c r="O84" s="31"/>
      <c r="P84" s="31"/>
      <c r="Q84" s="31"/>
      <c r="R84" s="31"/>
      <c r="S84" s="31"/>
      <c r="T84" s="31"/>
      <c r="U84" s="31"/>
      <c r="V84" s="31"/>
      <c r="W84" s="55">
        <v>65</v>
      </c>
      <c r="X84" s="80">
        <v>662.93628895664745</v>
      </c>
      <c r="Y84" s="80">
        <v>47</v>
      </c>
      <c r="Z84" s="80">
        <v>1158.0685630141152</v>
      </c>
      <c r="AA84" s="80">
        <v>272.83854297862791</v>
      </c>
      <c r="AB84" s="80">
        <v>1111.0685630141152</v>
      </c>
      <c r="AC84" s="80">
        <v>722.05530710074788</v>
      </c>
      <c r="AD84" s="55">
        <v>1</v>
      </c>
      <c r="AE84" s="31"/>
      <c r="AF84" s="31"/>
      <c r="AG84" s="46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U84" s="59"/>
      <c r="BV84" s="59"/>
      <c r="BW84" s="59"/>
      <c r="BX84" s="59"/>
      <c r="BY84" s="59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</row>
    <row r="85" spans="1:91" x14ac:dyDescent="0.2">
      <c r="A85" s="31"/>
      <c r="B85" s="70">
        <v>66</v>
      </c>
      <c r="C85" s="51">
        <v>5</v>
      </c>
      <c r="D85" s="55">
        <v>10</v>
      </c>
      <c r="E85" s="37">
        <v>3</v>
      </c>
      <c r="F85" s="37">
        <f t="shared" si="33"/>
        <v>1</v>
      </c>
      <c r="G85" s="37" cm="1">
        <f t="array" ref="G85">IF(E85&lt;=INDEX($B$4:$B$17,C85),1,0)</f>
        <v>1</v>
      </c>
      <c r="H85" s="120">
        <f t="shared" ref="H85:H116" ca="1" si="35">IF(G85=1,IF(cutting_choice=1, MIN(J85,$H$12),MIN(J85,NORMINV(RAND(),$H$13,$H$14))),0)</f>
        <v>165.46987089865581</v>
      </c>
      <c r="I85" s="38">
        <f>IF(AND(sat_working=TRUE,E85=6),ROUNDDOWN(AVERAGE('Data for 2021'!I79:I83),0),'Data for 2021'!I84)</f>
        <v>172</v>
      </c>
      <c r="J85" s="80">
        <f t="shared" ca="1" si="16"/>
        <v>340.22545265173687</v>
      </c>
      <c r="K85" s="80">
        <f t="shared" ca="1" si="34"/>
        <v>346.75558175308106</v>
      </c>
      <c r="L85" s="55">
        <f t="shared" ref="L85:L116" ca="1" si="36">IF(AND(H85=J85,G85),1,0)</f>
        <v>0</v>
      </c>
      <c r="M85" s="55">
        <f t="shared" ca="1" si="17"/>
        <v>168.98745173240891</v>
      </c>
      <c r="N85" s="55"/>
      <c r="O85" s="31"/>
      <c r="P85" s="31"/>
      <c r="Q85" s="31"/>
      <c r="R85" s="31"/>
      <c r="S85" s="31"/>
      <c r="T85" s="31"/>
      <c r="U85" s="31"/>
      <c r="V85" s="31"/>
      <c r="W85" s="55">
        <v>66</v>
      </c>
      <c r="X85" s="80">
        <v>688.32223953666551</v>
      </c>
      <c r="Y85" s="80">
        <v>47</v>
      </c>
      <c r="Z85" s="80">
        <v>1210.7506491575232</v>
      </c>
      <c r="AA85" s="80">
        <v>306.10556911748415</v>
      </c>
      <c r="AB85" s="80">
        <v>1163.7506491575232</v>
      </c>
      <c r="AC85" s="80">
        <v>972.9656429345323</v>
      </c>
      <c r="AD85" s="55">
        <v>1</v>
      </c>
      <c r="AE85" s="31"/>
      <c r="AF85" s="31"/>
      <c r="AG85" s="46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U85" s="59"/>
      <c r="BV85" s="59"/>
      <c r="BW85" s="59"/>
      <c r="BX85" s="59"/>
      <c r="BY85" s="59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</row>
    <row r="86" spans="1:91" x14ac:dyDescent="0.2">
      <c r="A86" s="31"/>
      <c r="B86" s="67">
        <v>67</v>
      </c>
      <c r="C86" s="51">
        <v>5</v>
      </c>
      <c r="D86" s="55">
        <v>11</v>
      </c>
      <c r="E86" s="37">
        <v>4</v>
      </c>
      <c r="F86" s="37">
        <f t="shared" si="33"/>
        <v>1</v>
      </c>
      <c r="G86" s="37" cm="1">
        <f t="array" ref="G86">IF(E86&lt;=INDEX($B$4:$B$17,C86),1,0)</f>
        <v>1</v>
      </c>
      <c r="H86" s="120">
        <f t="shared" ca="1" si="35"/>
        <v>167.49124084312055</v>
      </c>
      <c r="I86" s="38">
        <f>IF(AND(sat_working=TRUE,E86=6),ROUNDDOWN(AVERAGE('Data for 2021'!I80:I84),0),'Data for 2021'!I85)</f>
        <v>178</v>
      </c>
      <c r="J86" s="80">
        <f t="shared" ref="J86:J149" ca="1" si="37">K85</f>
        <v>346.75558175308106</v>
      </c>
      <c r="K86" s="80">
        <f t="shared" ca="1" si="34"/>
        <v>357.26434090996054</v>
      </c>
      <c r="L86" s="55">
        <f t="shared" ca="1" si="36"/>
        <v>0</v>
      </c>
      <c r="M86" s="55">
        <f t="shared" ref="M86:M149" ca="1" si="38">IF(OR(G85=0,L85=1),"",H85)</f>
        <v>165.46987089865581</v>
      </c>
      <c r="N86" s="55"/>
      <c r="O86" s="31"/>
      <c r="P86" s="31"/>
      <c r="Q86" s="31"/>
      <c r="R86" s="31"/>
      <c r="S86" s="31"/>
      <c r="T86" s="31"/>
      <c r="U86" s="31"/>
      <c r="V86" s="31"/>
      <c r="W86" s="55">
        <v>67</v>
      </c>
      <c r="X86" s="80">
        <v>443.35927466827053</v>
      </c>
      <c r="Y86" s="80">
        <v>47</v>
      </c>
      <c r="Z86" s="80">
        <v>778.6676647862904</v>
      </c>
      <c r="AA86" s="80">
        <v>177.10815499971511</v>
      </c>
      <c r="AB86" s="80">
        <v>731.6676647862904</v>
      </c>
      <c r="AC86" s="80">
        <v>388.60442577105755</v>
      </c>
      <c r="AD86" s="55">
        <v>3</v>
      </c>
      <c r="AE86" s="31"/>
      <c r="AF86" s="31"/>
      <c r="AG86" s="46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U86" s="59"/>
      <c r="BV86" s="59"/>
      <c r="BW86" s="59"/>
      <c r="BX86" s="59"/>
      <c r="BY86" s="59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</row>
    <row r="87" spans="1:91" x14ac:dyDescent="0.2">
      <c r="A87" s="31"/>
      <c r="B87" s="70">
        <v>68</v>
      </c>
      <c r="C87" s="51">
        <v>5</v>
      </c>
      <c r="D87" s="55">
        <v>12</v>
      </c>
      <c r="E87" s="37">
        <v>5</v>
      </c>
      <c r="F87" s="37">
        <f t="shared" si="33"/>
        <v>1</v>
      </c>
      <c r="G87" s="37" cm="1">
        <f t="array" ref="G87">IF(E87&lt;=INDEX($B$4:$B$17,C87),1,0)</f>
        <v>1</v>
      </c>
      <c r="H87" s="120">
        <f t="shared" ca="1" si="35"/>
        <v>201.47965298307955</v>
      </c>
      <c r="I87" s="38">
        <f>IF(AND(sat_working=TRUE,E87=6),ROUNDDOWN(AVERAGE('Data for 2021'!I81:I85),0),'Data for 2021'!I86)</f>
        <v>144</v>
      </c>
      <c r="J87" s="80">
        <f t="shared" ca="1" si="37"/>
        <v>357.26434090996054</v>
      </c>
      <c r="K87" s="80">
        <f t="shared" ca="1" si="34"/>
        <v>299.78468792688102</v>
      </c>
      <c r="L87" s="55">
        <f t="shared" ca="1" si="36"/>
        <v>0</v>
      </c>
      <c r="M87" s="55">
        <f t="shared" ca="1" si="38"/>
        <v>167.49124084312055</v>
      </c>
      <c r="N87" s="55"/>
      <c r="O87" s="31"/>
      <c r="P87" s="31"/>
      <c r="Q87" s="31"/>
      <c r="R87" s="31"/>
      <c r="S87" s="31"/>
      <c r="T87" s="31"/>
      <c r="U87" s="31"/>
      <c r="V87" s="31"/>
      <c r="W87" s="55">
        <v>68</v>
      </c>
      <c r="X87" s="80">
        <v>567.31749697143334</v>
      </c>
      <c r="Y87" s="80">
        <v>47</v>
      </c>
      <c r="Z87" s="80">
        <v>1038.1429494973193</v>
      </c>
      <c r="AA87" s="80">
        <v>232.63630773324101</v>
      </c>
      <c r="AB87" s="80">
        <v>991.14294949731925</v>
      </c>
      <c r="AC87" s="80">
        <v>699.95235875585331</v>
      </c>
      <c r="AD87" s="55">
        <v>1</v>
      </c>
      <c r="AE87" s="31"/>
      <c r="AF87" s="31"/>
      <c r="AG87" s="46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U87" s="59"/>
      <c r="BV87" s="59"/>
      <c r="BW87" s="59"/>
      <c r="BX87" s="59"/>
      <c r="BY87" s="59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</row>
    <row r="88" spans="1:91" x14ac:dyDescent="0.2">
      <c r="A88" s="31"/>
      <c r="B88" s="67">
        <v>69</v>
      </c>
      <c r="C88" s="51">
        <v>5</v>
      </c>
      <c r="D88" s="55">
        <v>13</v>
      </c>
      <c r="E88" s="37">
        <v>6</v>
      </c>
      <c r="F88" s="37">
        <f t="shared" si="33"/>
        <v>1</v>
      </c>
      <c r="G88" s="37" cm="1">
        <f t="array" ref="G88">IF(E88&lt;=INDEX($B$4:$B$17,C88),1,0)</f>
        <v>0</v>
      </c>
      <c r="H88" s="120">
        <f t="shared" ca="1" si="35"/>
        <v>0</v>
      </c>
      <c r="I88" s="38">
        <f>I81</f>
        <v>139</v>
      </c>
      <c r="J88" s="80">
        <f t="shared" ca="1" si="37"/>
        <v>299.78468792688102</v>
      </c>
      <c r="K88" s="80">
        <f t="shared" ca="1" si="34"/>
        <v>438.78468792688102</v>
      </c>
      <c r="L88" s="55">
        <f t="shared" ca="1" si="36"/>
        <v>0</v>
      </c>
      <c r="M88" s="55">
        <f t="shared" ca="1" si="38"/>
        <v>201.47965298307955</v>
      </c>
      <c r="N88" s="55"/>
      <c r="O88" s="31"/>
      <c r="P88" s="31"/>
      <c r="Q88" s="31"/>
      <c r="R88" s="31"/>
      <c r="S88" s="31"/>
      <c r="T88" s="31"/>
      <c r="U88" s="31"/>
      <c r="V88" s="31"/>
      <c r="W88" s="55">
        <v>69</v>
      </c>
      <c r="X88" s="80">
        <v>786.951827980997</v>
      </c>
      <c r="Y88" s="80">
        <v>47</v>
      </c>
      <c r="Z88" s="80">
        <v>1394.6335225092921</v>
      </c>
      <c r="AA88" s="80">
        <v>399.77049685101514</v>
      </c>
      <c r="AB88" s="80">
        <v>1347.6335225092921</v>
      </c>
      <c r="AC88" s="80">
        <v>1119.1256666696772</v>
      </c>
      <c r="AD88" s="55">
        <v>1</v>
      </c>
      <c r="AE88" s="31"/>
      <c r="AF88" s="31"/>
      <c r="AG88" s="46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U88" s="59"/>
      <c r="BV88" s="59"/>
      <c r="BW88" s="59"/>
      <c r="BX88" s="59"/>
      <c r="BY88" s="59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</row>
    <row r="89" spans="1:91" x14ac:dyDescent="0.2">
      <c r="A89" s="31"/>
      <c r="B89" s="70">
        <v>70</v>
      </c>
      <c r="C89" s="52">
        <v>5</v>
      </c>
      <c r="D89" s="57">
        <v>14</v>
      </c>
      <c r="E89" s="37">
        <v>7</v>
      </c>
      <c r="F89" s="37">
        <f t="shared" si="33"/>
        <v>0</v>
      </c>
      <c r="G89" s="37" cm="1">
        <f t="array" ref="G89">IF(E89&lt;=INDEX($B$4:$B$17,C89),1,0)</f>
        <v>0</v>
      </c>
      <c r="H89" s="120">
        <f t="shared" ca="1" si="35"/>
        <v>0</v>
      </c>
      <c r="I89" s="38">
        <f>IF(AND(sat_working=TRUE,E89=6),ROUNDDOWN(AVERAGE('Data for 2021'!I83:I87),0),'Data for 2021'!I88)</f>
        <v>0</v>
      </c>
      <c r="J89" s="80">
        <f t="shared" ca="1" si="37"/>
        <v>438.78468792688102</v>
      </c>
      <c r="K89" s="80">
        <f t="shared" ca="1" si="34"/>
        <v>438.78468792688102</v>
      </c>
      <c r="L89" s="55">
        <f t="shared" ca="1" si="36"/>
        <v>0</v>
      </c>
      <c r="M89" s="55" t="str">
        <f t="shared" ca="1" si="38"/>
        <v/>
      </c>
      <c r="N89" s="55"/>
      <c r="O89" s="31"/>
      <c r="P89" s="31"/>
      <c r="Q89" s="31"/>
      <c r="R89" s="31"/>
      <c r="S89" s="31"/>
      <c r="T89" s="31"/>
      <c r="U89" s="31"/>
      <c r="V89" s="31"/>
      <c r="W89" s="55">
        <v>70</v>
      </c>
      <c r="X89" s="80">
        <v>476.69668058086319</v>
      </c>
      <c r="Y89" s="80">
        <v>47</v>
      </c>
      <c r="Z89" s="80">
        <v>787.1637338475814</v>
      </c>
      <c r="AA89" s="80">
        <v>184.19410018284299</v>
      </c>
      <c r="AB89" s="80">
        <v>740.1637338475814</v>
      </c>
      <c r="AC89" s="80">
        <v>533.65389227357673</v>
      </c>
      <c r="AD89" s="55">
        <v>3</v>
      </c>
      <c r="AE89" s="31"/>
      <c r="AF89" s="31"/>
      <c r="AG89" s="46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U89" s="59"/>
      <c r="BV89" s="59"/>
      <c r="BW89" s="59"/>
      <c r="BX89" s="59"/>
      <c r="BY89" s="59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</row>
    <row r="90" spans="1:91" x14ac:dyDescent="0.2">
      <c r="A90" s="31" t="s">
        <v>95</v>
      </c>
      <c r="B90" s="67">
        <v>71</v>
      </c>
      <c r="C90" s="50">
        <v>6</v>
      </c>
      <c r="D90" s="53">
        <v>1</v>
      </c>
      <c r="E90" s="35">
        <v>1</v>
      </c>
      <c r="F90" s="35">
        <f t="shared" si="33"/>
        <v>1</v>
      </c>
      <c r="G90" s="35" cm="1">
        <f t="array" ref="G90">IF(E90&lt;=INDEX($B$4:$B$17,C90),1,0)</f>
        <v>1</v>
      </c>
      <c r="H90" s="120">
        <f t="shared" ca="1" si="35"/>
        <v>133.98462720984151</v>
      </c>
      <c r="I90" s="38">
        <f>IF(AND(sat_working=TRUE,E90=6),ROUNDDOWN(AVERAGE('Data for 2021'!I84:I88),0),'Data for 2021'!I89)</f>
        <v>172</v>
      </c>
      <c r="J90" s="80">
        <f t="shared" ca="1" si="37"/>
        <v>438.78468792688102</v>
      </c>
      <c r="K90" s="80">
        <f t="shared" ca="1" si="34"/>
        <v>476.80006071703951</v>
      </c>
      <c r="L90" s="55">
        <f t="shared" ca="1" si="36"/>
        <v>0</v>
      </c>
      <c r="M90" s="55" t="str">
        <f t="shared" ca="1" si="38"/>
        <v/>
      </c>
      <c r="N90" s="55"/>
      <c r="O90" s="31"/>
      <c r="P90" s="31"/>
      <c r="Q90" s="31"/>
      <c r="R90" s="31"/>
      <c r="S90" s="31"/>
      <c r="T90" s="31"/>
      <c r="U90" s="31"/>
      <c r="V90" s="31"/>
      <c r="W90" s="55">
        <v>71</v>
      </c>
      <c r="X90" s="80">
        <v>553.60084621474095</v>
      </c>
      <c r="Y90" s="80">
        <v>47</v>
      </c>
      <c r="Z90" s="80">
        <v>828.56445819668988</v>
      </c>
      <c r="AA90" s="80">
        <v>176.8159749157777</v>
      </c>
      <c r="AB90" s="80">
        <v>781.56445819668988</v>
      </c>
      <c r="AC90" s="80">
        <v>576.92121937969534</v>
      </c>
      <c r="AD90" s="55">
        <v>1</v>
      </c>
      <c r="AE90" s="31"/>
      <c r="AF90" s="31"/>
      <c r="AG90" s="46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U90" s="59"/>
      <c r="BV90" s="59"/>
      <c r="BW90" s="59"/>
      <c r="BX90" s="59"/>
      <c r="BY90" s="59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</row>
    <row r="91" spans="1:91" x14ac:dyDescent="0.2">
      <c r="A91" s="31"/>
      <c r="B91" s="70">
        <v>72</v>
      </c>
      <c r="C91" s="51">
        <v>6</v>
      </c>
      <c r="D91" s="55">
        <v>2</v>
      </c>
      <c r="E91" s="37">
        <v>2</v>
      </c>
      <c r="F91" s="37">
        <f t="shared" si="33"/>
        <v>1</v>
      </c>
      <c r="G91" s="37" cm="1">
        <f t="array" ref="G91">IF(E91&lt;=INDEX($B$4:$B$17,C91),1,0)</f>
        <v>1</v>
      </c>
      <c r="H91" s="120">
        <f t="shared" ca="1" si="35"/>
        <v>159.35415905514336</v>
      </c>
      <c r="I91" s="38">
        <f>IF(AND(sat_working=TRUE,E91=6),ROUNDDOWN(AVERAGE('Data for 2021'!I85:I89),0),'Data for 2021'!I90)</f>
        <v>168</v>
      </c>
      <c r="J91" s="80">
        <f t="shared" ca="1" si="37"/>
        <v>476.80006071703951</v>
      </c>
      <c r="K91" s="80">
        <f t="shared" ca="1" si="34"/>
        <v>485.44590166189619</v>
      </c>
      <c r="L91" s="55">
        <f t="shared" ca="1" si="36"/>
        <v>0</v>
      </c>
      <c r="M91" s="55">
        <f t="shared" ca="1" si="38"/>
        <v>133.98462720984151</v>
      </c>
      <c r="N91" s="55"/>
      <c r="O91" s="31"/>
      <c r="P91" s="31"/>
      <c r="Q91" s="31"/>
      <c r="R91" s="31"/>
      <c r="S91" s="31"/>
      <c r="T91" s="31"/>
      <c r="U91" s="31"/>
      <c r="V91" s="31"/>
      <c r="W91" s="55">
        <v>72</v>
      </c>
      <c r="X91" s="80">
        <v>619.52506402023585</v>
      </c>
      <c r="Y91" s="80">
        <v>44.431863743998548</v>
      </c>
      <c r="Z91" s="80">
        <v>1009.9627982151641</v>
      </c>
      <c r="AA91" s="80">
        <v>258.45529619980385</v>
      </c>
      <c r="AB91" s="80">
        <v>965.53093447116555</v>
      </c>
      <c r="AC91" s="80">
        <v>656.77034507249232</v>
      </c>
      <c r="AD91" s="55">
        <v>2</v>
      </c>
      <c r="AE91" s="31"/>
      <c r="AF91" s="31"/>
      <c r="AG91" s="46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U91" s="59"/>
      <c r="BV91" s="59"/>
      <c r="BW91" s="59"/>
      <c r="BX91" s="59"/>
      <c r="BY91" s="59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</row>
    <row r="92" spans="1:91" x14ac:dyDescent="0.2">
      <c r="A92" s="31"/>
      <c r="B92" s="67">
        <v>73</v>
      </c>
      <c r="C92" s="51">
        <v>6</v>
      </c>
      <c r="D92" s="55">
        <v>3</v>
      </c>
      <c r="E92" s="37">
        <v>3</v>
      </c>
      <c r="F92" s="37">
        <f t="shared" si="33"/>
        <v>1</v>
      </c>
      <c r="G92" s="37" cm="1">
        <f t="array" ref="G92">IF(E92&lt;=INDEX($B$4:$B$17,C92),1,0)</f>
        <v>1</v>
      </c>
      <c r="H92" s="120">
        <f t="shared" ca="1" si="35"/>
        <v>164.26040654672207</v>
      </c>
      <c r="I92" s="38">
        <f>IF(AND(sat_working=TRUE,E92=6),ROUNDDOWN(AVERAGE('Data for 2021'!I86:I90),0),'Data for 2021'!I91)</f>
        <v>123</v>
      </c>
      <c r="J92" s="80">
        <f t="shared" ca="1" si="37"/>
        <v>485.44590166189619</v>
      </c>
      <c r="K92" s="80">
        <f t="shared" ca="1" si="34"/>
        <v>444.18549511517415</v>
      </c>
      <c r="L92" s="55">
        <f t="shared" ca="1" si="36"/>
        <v>0</v>
      </c>
      <c r="M92" s="55">
        <f t="shared" ca="1" si="38"/>
        <v>159.35415905514336</v>
      </c>
      <c r="N92" s="55"/>
      <c r="O92" s="31"/>
      <c r="P92" s="31"/>
      <c r="Q92" s="31"/>
      <c r="R92" s="31"/>
      <c r="S92" s="31"/>
      <c r="T92" s="31"/>
      <c r="U92" s="31"/>
      <c r="V92" s="31"/>
      <c r="W92" s="55">
        <v>73</v>
      </c>
      <c r="X92" s="80">
        <v>447.31094845575541</v>
      </c>
      <c r="Y92" s="80">
        <v>47</v>
      </c>
      <c r="Z92" s="80">
        <v>935.65841455063253</v>
      </c>
      <c r="AA92" s="80">
        <v>208.01107559135104</v>
      </c>
      <c r="AB92" s="80">
        <v>888.65841455063253</v>
      </c>
      <c r="AC92" s="80">
        <v>540.04663148958298</v>
      </c>
      <c r="AD92" s="55">
        <v>6</v>
      </c>
      <c r="AE92" s="31"/>
      <c r="AF92" s="31"/>
      <c r="AG92" s="46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U92" s="59"/>
      <c r="BV92" s="59"/>
      <c r="BW92" s="59"/>
      <c r="BX92" s="59"/>
      <c r="BY92" s="59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</row>
    <row r="93" spans="1:91" x14ac:dyDescent="0.2">
      <c r="A93" s="31"/>
      <c r="B93" s="70">
        <v>74</v>
      </c>
      <c r="C93" s="51">
        <v>6</v>
      </c>
      <c r="D93" s="55">
        <v>4</v>
      </c>
      <c r="E93" s="37">
        <v>4</v>
      </c>
      <c r="F93" s="37">
        <f t="shared" si="33"/>
        <v>1</v>
      </c>
      <c r="G93" s="37" cm="1">
        <f t="array" ref="G93">IF(E93&lt;=INDEX($B$4:$B$17,C93),1,0)</f>
        <v>1</v>
      </c>
      <c r="H93" s="120">
        <f t="shared" ca="1" si="35"/>
        <v>147.20454480296311</v>
      </c>
      <c r="I93" s="38">
        <f>IF(AND(sat_working=TRUE,E93=6),ROUNDDOWN(AVERAGE('Data for 2021'!I87:I91),0),'Data for 2021'!I92)</f>
        <v>162</v>
      </c>
      <c r="J93" s="80">
        <f t="shared" ca="1" si="37"/>
        <v>444.18549511517415</v>
      </c>
      <c r="K93" s="80">
        <f t="shared" ca="1" si="34"/>
        <v>458.98095031221101</v>
      </c>
      <c r="L93" s="55">
        <f t="shared" ca="1" si="36"/>
        <v>0</v>
      </c>
      <c r="M93" s="55">
        <f t="shared" ca="1" si="38"/>
        <v>164.26040654672207</v>
      </c>
      <c r="N93" s="55"/>
      <c r="O93" s="31"/>
      <c r="P93" s="31"/>
      <c r="Q93" s="31"/>
      <c r="R93" s="31"/>
      <c r="S93" s="31"/>
      <c r="T93" s="31"/>
      <c r="U93" s="31"/>
      <c r="V93" s="31"/>
      <c r="W93" s="55">
        <v>74</v>
      </c>
      <c r="X93" s="80">
        <v>379.01109250131509</v>
      </c>
      <c r="Y93" s="80">
        <v>47</v>
      </c>
      <c r="Z93" s="80">
        <v>598.26695933636279</v>
      </c>
      <c r="AA93" s="80">
        <v>107.47384041856647</v>
      </c>
      <c r="AB93" s="80">
        <v>551.26695933636279</v>
      </c>
      <c r="AC93" s="80">
        <v>227.67102497545937</v>
      </c>
      <c r="AD93" s="55">
        <v>2</v>
      </c>
      <c r="AE93" s="31"/>
      <c r="AF93" s="31"/>
      <c r="AG93" s="46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U93" s="59"/>
      <c r="BV93" s="59"/>
      <c r="BW93" s="59"/>
      <c r="BX93" s="59"/>
      <c r="BY93" s="59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</row>
    <row r="94" spans="1:91" x14ac:dyDescent="0.2">
      <c r="A94" s="31"/>
      <c r="B94" s="67">
        <v>75</v>
      </c>
      <c r="C94" s="51">
        <v>6</v>
      </c>
      <c r="D94" s="55">
        <v>5</v>
      </c>
      <c r="E94" s="37">
        <v>5</v>
      </c>
      <c r="F94" s="37">
        <f t="shared" si="33"/>
        <v>1</v>
      </c>
      <c r="G94" s="37" cm="1">
        <f t="array" ref="G94">IF(E94&lt;=INDEX($B$4:$B$17,C94),1,0)</f>
        <v>1</v>
      </c>
      <c r="H94" s="120">
        <f t="shared" ca="1" si="35"/>
        <v>160.53590889313446</v>
      </c>
      <c r="I94" s="38">
        <f>IF(AND(sat_working=TRUE,E94=6),ROUNDDOWN(AVERAGE('Data for 2021'!I88:I92),0),'Data for 2021'!I93)</f>
        <v>119</v>
      </c>
      <c r="J94" s="80">
        <f t="shared" ca="1" si="37"/>
        <v>458.98095031221101</v>
      </c>
      <c r="K94" s="80">
        <f t="shared" ca="1" si="34"/>
        <v>417.44504141907657</v>
      </c>
      <c r="L94" s="55">
        <f t="shared" ca="1" si="36"/>
        <v>0</v>
      </c>
      <c r="M94" s="55">
        <f t="shared" ca="1" si="38"/>
        <v>147.20454480296311</v>
      </c>
      <c r="N94" s="55"/>
      <c r="O94" s="31"/>
      <c r="P94" s="31"/>
      <c r="Q94" s="31"/>
      <c r="R94" s="31"/>
      <c r="S94" s="31"/>
      <c r="T94" s="31"/>
      <c r="U94" s="31"/>
      <c r="V94" s="31"/>
      <c r="W94" s="55">
        <v>75</v>
      </c>
      <c r="X94" s="80">
        <v>397.41338926300062</v>
      </c>
      <c r="Y94" s="80">
        <v>38</v>
      </c>
      <c r="Z94" s="80">
        <v>770.77504068311634</v>
      </c>
      <c r="AA94" s="80">
        <v>169.30149654511263</v>
      </c>
      <c r="AB94" s="80">
        <v>732.77504068311634</v>
      </c>
      <c r="AC94" s="80">
        <v>288.52997606787358</v>
      </c>
      <c r="AD94" s="55">
        <v>7</v>
      </c>
      <c r="AE94" s="31"/>
      <c r="AF94" s="31"/>
      <c r="AG94" s="46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U94" s="59"/>
      <c r="BV94" s="59"/>
      <c r="BW94" s="59"/>
      <c r="BX94" s="59"/>
      <c r="BY94" s="59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</row>
    <row r="95" spans="1:91" x14ac:dyDescent="0.2">
      <c r="A95" s="31"/>
      <c r="B95" s="70">
        <v>76</v>
      </c>
      <c r="C95" s="51">
        <v>6</v>
      </c>
      <c r="D95" s="55">
        <v>6</v>
      </c>
      <c r="E95" s="37">
        <v>6</v>
      </c>
      <c r="F95" s="37">
        <f t="shared" si="33"/>
        <v>1</v>
      </c>
      <c r="G95" s="37" cm="1">
        <f t="array" ref="G95">IF(E95&lt;=INDEX($B$4:$B$17,C95),1,0)</f>
        <v>1</v>
      </c>
      <c r="H95" s="120">
        <f t="shared" ca="1" si="35"/>
        <v>165.94200522626613</v>
      </c>
      <c r="I95" s="38">
        <f>IF(AND(sat_working=TRUE,E95=6),ROUNDDOWN(AVERAGE('Data for 2021'!I89:I93,'Data for 2021'!I96:I100),0),'Data for 2021'!I94)</f>
        <v>147</v>
      </c>
      <c r="J95" s="80">
        <f t="shared" ca="1" si="37"/>
        <v>417.44504141907657</v>
      </c>
      <c r="K95" s="80">
        <f t="shared" ca="1" si="34"/>
        <v>398.50303619281044</v>
      </c>
      <c r="L95" s="55">
        <f t="shared" ca="1" si="36"/>
        <v>0</v>
      </c>
      <c r="M95" s="55">
        <f t="shared" ca="1" si="38"/>
        <v>160.53590889313446</v>
      </c>
      <c r="N95" s="55"/>
      <c r="O95" s="31"/>
      <c r="P95" s="31"/>
      <c r="Q95" s="31"/>
      <c r="R95" s="31"/>
      <c r="S95" s="31"/>
      <c r="T95" s="31"/>
      <c r="U95" s="31"/>
      <c r="V95" s="31"/>
      <c r="W95" s="55">
        <v>76</v>
      </c>
      <c r="X95" s="80">
        <v>403.28459110332767</v>
      </c>
      <c r="Y95" s="80">
        <v>47</v>
      </c>
      <c r="Z95" s="80">
        <v>717.17963900756649</v>
      </c>
      <c r="AA95" s="80">
        <v>157.91169770460402</v>
      </c>
      <c r="AB95" s="80">
        <v>670.17963900756649</v>
      </c>
      <c r="AC95" s="80">
        <v>372.31955072179443</v>
      </c>
      <c r="AD95" s="55">
        <v>6</v>
      </c>
      <c r="AE95" s="31"/>
      <c r="AF95" s="31"/>
      <c r="AG95" s="46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U95" s="59"/>
      <c r="BV95" s="59"/>
      <c r="BW95" s="59"/>
      <c r="BX95" s="59"/>
      <c r="BY95" s="59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</row>
    <row r="96" spans="1:91" x14ac:dyDescent="0.2">
      <c r="A96" s="31"/>
      <c r="B96" s="67">
        <v>77</v>
      </c>
      <c r="C96" s="51">
        <v>6</v>
      </c>
      <c r="D96" s="55">
        <v>7</v>
      </c>
      <c r="E96" s="37">
        <v>7</v>
      </c>
      <c r="F96" s="37">
        <f t="shared" si="33"/>
        <v>0</v>
      </c>
      <c r="G96" s="37" cm="1">
        <f t="array" ref="G96">IF(E96&lt;=INDEX($B$4:$B$17,C96),1,0)</f>
        <v>0</v>
      </c>
      <c r="H96" s="120">
        <f t="shared" ca="1" si="35"/>
        <v>0</v>
      </c>
      <c r="I96" s="38">
        <f>IF(AND(sat_working=TRUE,E96=6),ROUNDDOWN(AVERAGE('Data for 2021'!I90:I94),0),'Data for 2021'!I95)</f>
        <v>0</v>
      </c>
      <c r="J96" s="80">
        <f t="shared" ca="1" si="37"/>
        <v>398.50303619281044</v>
      </c>
      <c r="K96" s="80">
        <f t="shared" ca="1" si="34"/>
        <v>398.50303619281044</v>
      </c>
      <c r="L96" s="55">
        <f t="shared" ca="1" si="36"/>
        <v>0</v>
      </c>
      <c r="M96" s="55">
        <f t="shared" ca="1" si="38"/>
        <v>165.94200522626613</v>
      </c>
      <c r="N96" s="55"/>
      <c r="O96" s="31"/>
      <c r="P96" s="31"/>
      <c r="Q96" s="31"/>
      <c r="R96" s="31"/>
      <c r="S96" s="31"/>
      <c r="T96" s="31"/>
      <c r="U96" s="31"/>
      <c r="V96" s="31"/>
      <c r="W96" s="55">
        <v>77</v>
      </c>
      <c r="X96" s="80">
        <v>667.85503334684711</v>
      </c>
      <c r="Y96" s="80">
        <v>47</v>
      </c>
      <c r="Z96" s="80">
        <v>1195.1225458148285</v>
      </c>
      <c r="AA96" s="80">
        <v>279.67519093025157</v>
      </c>
      <c r="AB96" s="80">
        <v>1148.1225458148285</v>
      </c>
      <c r="AC96" s="80">
        <v>710.81770858237871</v>
      </c>
      <c r="AD96" s="55">
        <v>1</v>
      </c>
      <c r="AE96" s="31"/>
      <c r="AF96" s="31"/>
      <c r="AG96" s="46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U96" s="59"/>
      <c r="BV96" s="59"/>
      <c r="BW96" s="59"/>
      <c r="BX96" s="59"/>
      <c r="BY96" s="59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</row>
    <row r="97" spans="1:91" x14ac:dyDescent="0.2">
      <c r="A97" s="31"/>
      <c r="B97" s="70">
        <v>78</v>
      </c>
      <c r="C97" s="51">
        <v>6</v>
      </c>
      <c r="D97" s="55">
        <v>8</v>
      </c>
      <c r="E97" s="35">
        <v>1</v>
      </c>
      <c r="F97" s="35">
        <f t="shared" si="33"/>
        <v>1</v>
      </c>
      <c r="G97" s="37" cm="1">
        <f t="array" ref="G97">IF(E97&lt;=INDEX($B$4:$B$17,C97),1,0)</f>
        <v>1</v>
      </c>
      <c r="H97" s="120">
        <f t="shared" ca="1" si="35"/>
        <v>145.59159825179006</v>
      </c>
      <c r="I97" s="38">
        <f>IF(AND(sat_working=TRUE,E97=6),ROUNDDOWN(AVERAGE('Data for 2021'!I91:I95),0),'Data for 2021'!I96)</f>
        <v>147</v>
      </c>
      <c r="J97" s="80">
        <f t="shared" ca="1" si="37"/>
        <v>398.50303619281044</v>
      </c>
      <c r="K97" s="80">
        <f t="shared" ca="1" si="34"/>
        <v>399.91143794102038</v>
      </c>
      <c r="L97" s="55">
        <f t="shared" ca="1" si="36"/>
        <v>0</v>
      </c>
      <c r="M97" s="55" t="str">
        <f t="shared" ca="1" si="38"/>
        <v/>
      </c>
      <c r="N97" s="55"/>
      <c r="O97" s="31"/>
      <c r="P97" s="31"/>
      <c r="Q97" s="31"/>
      <c r="R97" s="31"/>
      <c r="S97" s="31"/>
      <c r="T97" s="31"/>
      <c r="U97" s="31"/>
      <c r="V97" s="31"/>
      <c r="W97" s="55">
        <v>78</v>
      </c>
      <c r="X97" s="80">
        <v>653.76238551041615</v>
      </c>
      <c r="Y97" s="80">
        <v>42.836072250482971</v>
      </c>
      <c r="Z97" s="80">
        <v>1286.2355733741229</v>
      </c>
      <c r="AA97" s="80">
        <v>315.09662909817547</v>
      </c>
      <c r="AB97" s="80">
        <v>1243.3995011236398</v>
      </c>
      <c r="AC97" s="80">
        <v>761.62140114350677</v>
      </c>
      <c r="AD97" s="55">
        <v>1</v>
      </c>
      <c r="AE97" s="31"/>
      <c r="AF97" s="31"/>
      <c r="AG97" s="46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U97" s="59"/>
      <c r="BV97" s="59"/>
      <c r="BW97" s="59"/>
      <c r="BX97" s="59"/>
      <c r="BY97" s="59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</row>
    <row r="98" spans="1:91" x14ac:dyDescent="0.2">
      <c r="A98" s="31"/>
      <c r="B98" s="67">
        <v>79</v>
      </c>
      <c r="C98" s="51">
        <v>6</v>
      </c>
      <c r="D98" s="55">
        <v>9</v>
      </c>
      <c r="E98" s="37">
        <v>2</v>
      </c>
      <c r="F98" s="37">
        <f t="shared" si="33"/>
        <v>1</v>
      </c>
      <c r="G98" s="37" cm="1">
        <f t="array" ref="G98">IF(E98&lt;=INDEX($B$4:$B$17,C98),1,0)</f>
        <v>1</v>
      </c>
      <c r="H98" s="120">
        <f t="shared" ca="1" si="35"/>
        <v>188.96496008247453</v>
      </c>
      <c r="I98" s="38">
        <f>IF(AND(sat_working=TRUE,E98=6),ROUNDDOWN(AVERAGE('Data for 2021'!I92:I96),0),'Data for 2021'!I97)</f>
        <v>145</v>
      </c>
      <c r="J98" s="80">
        <f t="shared" ca="1" si="37"/>
        <v>399.91143794102038</v>
      </c>
      <c r="K98" s="80">
        <f t="shared" ca="1" si="34"/>
        <v>355.94647785854585</v>
      </c>
      <c r="L98" s="55">
        <f t="shared" ca="1" si="36"/>
        <v>0</v>
      </c>
      <c r="M98" s="55">
        <f t="shared" ca="1" si="38"/>
        <v>145.59159825179006</v>
      </c>
      <c r="N98" s="55"/>
      <c r="O98" s="31"/>
      <c r="P98" s="31"/>
      <c r="Q98" s="31"/>
      <c r="R98" s="31"/>
      <c r="S98" s="31"/>
      <c r="T98" s="31"/>
      <c r="U98" s="31"/>
      <c r="V98" s="31"/>
      <c r="W98" s="55">
        <v>79</v>
      </c>
      <c r="X98" s="80">
        <v>396.79406764518529</v>
      </c>
      <c r="Y98" s="80">
        <v>47</v>
      </c>
      <c r="Z98" s="80">
        <v>603.59175353781916</v>
      </c>
      <c r="AA98" s="80">
        <v>114.75752768648346</v>
      </c>
      <c r="AB98" s="80">
        <v>556.59175353781916</v>
      </c>
      <c r="AC98" s="80">
        <v>125.24423969817798</v>
      </c>
      <c r="AD98" s="55">
        <v>1</v>
      </c>
      <c r="AE98" s="31"/>
      <c r="AF98" s="31"/>
      <c r="AG98" s="46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U98" s="59"/>
      <c r="BV98" s="59"/>
      <c r="BW98" s="59"/>
      <c r="BX98" s="59"/>
      <c r="BY98" s="59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</row>
    <row r="99" spans="1:91" x14ac:dyDescent="0.2">
      <c r="A99" s="31"/>
      <c r="B99" s="70">
        <v>80</v>
      </c>
      <c r="C99" s="51">
        <v>6</v>
      </c>
      <c r="D99" s="55">
        <v>10</v>
      </c>
      <c r="E99" s="37">
        <v>3</v>
      </c>
      <c r="F99" s="37">
        <f t="shared" si="33"/>
        <v>1</v>
      </c>
      <c r="G99" s="37" cm="1">
        <f t="array" ref="G99">IF(E99&lt;=INDEX($B$4:$B$17,C99),1,0)</f>
        <v>1</v>
      </c>
      <c r="H99" s="120">
        <f t="shared" ca="1" si="35"/>
        <v>130.41297640671638</v>
      </c>
      <c r="I99" s="38">
        <f>IF(AND(sat_working=TRUE,E99=6),ROUNDDOWN(AVERAGE('Data for 2021'!I93:I97),0),'Data for 2021'!I98)</f>
        <v>154</v>
      </c>
      <c r="J99" s="80">
        <f t="shared" ca="1" si="37"/>
        <v>355.94647785854585</v>
      </c>
      <c r="K99" s="80">
        <f t="shared" ca="1" si="34"/>
        <v>379.53350145182947</v>
      </c>
      <c r="L99" s="55">
        <f t="shared" ca="1" si="36"/>
        <v>0</v>
      </c>
      <c r="M99" s="55">
        <f t="shared" ca="1" si="38"/>
        <v>188.96496008247453</v>
      </c>
      <c r="N99" s="55"/>
      <c r="O99" s="31"/>
      <c r="P99" s="31"/>
      <c r="Q99" s="31"/>
      <c r="R99" s="31"/>
      <c r="S99" s="31"/>
      <c r="T99" s="31"/>
      <c r="U99" s="31"/>
      <c r="V99" s="31"/>
      <c r="W99" s="55">
        <v>80</v>
      </c>
      <c r="X99" s="80">
        <v>447.13551921426892</v>
      </c>
      <c r="Y99" s="80">
        <v>47</v>
      </c>
      <c r="Z99" s="80">
        <v>803.95912993461388</v>
      </c>
      <c r="AA99" s="80">
        <v>197.80751287756036</v>
      </c>
      <c r="AB99" s="80">
        <v>756.95912993461388</v>
      </c>
      <c r="AC99" s="80">
        <v>553.70702718899361</v>
      </c>
      <c r="AD99" s="55">
        <v>2</v>
      </c>
      <c r="AE99" s="31"/>
      <c r="AF99" s="31"/>
      <c r="AG99" s="46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U99" s="59"/>
      <c r="BV99" s="59"/>
      <c r="BW99" s="59"/>
      <c r="BX99" s="59"/>
      <c r="BY99" s="59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</row>
    <row r="100" spans="1:91" x14ac:dyDescent="0.2">
      <c r="A100" s="31"/>
      <c r="B100" s="67">
        <v>81</v>
      </c>
      <c r="C100" s="51">
        <v>6</v>
      </c>
      <c r="D100" s="55">
        <v>11</v>
      </c>
      <c r="E100" s="37">
        <v>4</v>
      </c>
      <c r="F100" s="37">
        <f t="shared" si="33"/>
        <v>1</v>
      </c>
      <c r="G100" s="37" cm="1">
        <f t="array" ref="G100">IF(E100&lt;=INDEX($B$4:$B$17,C100),1,0)</f>
        <v>1</v>
      </c>
      <c r="H100" s="120">
        <f t="shared" ca="1" si="35"/>
        <v>143.41780688556398</v>
      </c>
      <c r="I100" s="38">
        <f>IF(AND(sat_working=TRUE,E100=6),ROUNDDOWN(AVERAGE('Data for 2021'!I94:I98),0),'Data for 2021'!I99)</f>
        <v>149</v>
      </c>
      <c r="J100" s="80">
        <f t="shared" ca="1" si="37"/>
        <v>379.53350145182947</v>
      </c>
      <c r="K100" s="80">
        <f t="shared" ca="1" si="34"/>
        <v>385.11569456626546</v>
      </c>
      <c r="L100" s="55">
        <f t="shared" ca="1" si="36"/>
        <v>0</v>
      </c>
      <c r="M100" s="55">
        <f t="shared" ca="1" si="38"/>
        <v>130.41297640671638</v>
      </c>
      <c r="N100" s="55"/>
      <c r="O100" s="31"/>
      <c r="P100" s="31"/>
      <c r="Q100" s="31"/>
      <c r="R100" s="31"/>
      <c r="S100" s="31"/>
      <c r="T100" s="31"/>
      <c r="U100" s="31"/>
      <c r="V100" s="31"/>
      <c r="W100" s="55">
        <v>81</v>
      </c>
      <c r="X100" s="80">
        <v>594.1844901114664</v>
      </c>
      <c r="Y100" s="80">
        <v>47</v>
      </c>
      <c r="Z100" s="80">
        <v>1148.2447090954793</v>
      </c>
      <c r="AA100" s="80">
        <v>279.37619563331532</v>
      </c>
      <c r="AB100" s="80">
        <v>1101.2447090954793</v>
      </c>
      <c r="AC100" s="80">
        <v>624.17383099526683</v>
      </c>
      <c r="AD100" s="55">
        <v>1</v>
      </c>
      <c r="AE100" s="31"/>
      <c r="AF100" s="31"/>
      <c r="AG100" s="46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U100" s="59"/>
      <c r="BV100" s="59"/>
      <c r="BW100" s="59"/>
      <c r="BX100" s="59"/>
      <c r="BY100" s="59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</row>
    <row r="101" spans="1:91" x14ac:dyDescent="0.2">
      <c r="A101" s="31"/>
      <c r="B101" s="70">
        <v>82</v>
      </c>
      <c r="C101" s="51">
        <v>6</v>
      </c>
      <c r="D101" s="55">
        <v>12</v>
      </c>
      <c r="E101" s="37">
        <v>5</v>
      </c>
      <c r="F101" s="37">
        <f t="shared" si="33"/>
        <v>1</v>
      </c>
      <c r="G101" s="37" cm="1">
        <f t="array" ref="G101">IF(E101&lt;=INDEX($B$4:$B$17,C101),1,0)</f>
        <v>1</v>
      </c>
      <c r="H101" s="120">
        <f t="shared" ca="1" si="35"/>
        <v>181.39178957269044</v>
      </c>
      <c r="I101" s="38">
        <f>IF(AND(sat_working=TRUE,E101=6),ROUNDDOWN(AVERAGE('Data for 2021'!I95:I99),0),'Data for 2021'!I100)</f>
        <v>135</v>
      </c>
      <c r="J101" s="80">
        <f t="shared" ca="1" si="37"/>
        <v>385.11569456626546</v>
      </c>
      <c r="K101" s="80">
        <f t="shared" ca="1" si="34"/>
        <v>338.72390499357505</v>
      </c>
      <c r="L101" s="55">
        <f t="shared" ca="1" si="36"/>
        <v>0</v>
      </c>
      <c r="M101" s="55">
        <f t="shared" ca="1" si="38"/>
        <v>143.41780688556398</v>
      </c>
      <c r="N101" s="55"/>
      <c r="O101" s="31"/>
      <c r="P101" s="31"/>
      <c r="Q101" s="31"/>
      <c r="R101" s="31"/>
      <c r="S101" s="31"/>
      <c r="T101" s="31"/>
      <c r="U101" s="31"/>
      <c r="V101" s="31"/>
      <c r="W101" s="55">
        <v>82</v>
      </c>
      <c r="X101" s="80">
        <v>474.7477481772716</v>
      </c>
      <c r="Y101" s="80">
        <v>47</v>
      </c>
      <c r="Z101" s="80">
        <v>918.88398720417433</v>
      </c>
      <c r="AA101" s="80">
        <v>215.04005245697275</v>
      </c>
      <c r="AB101" s="80">
        <v>871.88398720417433</v>
      </c>
      <c r="AC101" s="80">
        <v>612.58207707105225</v>
      </c>
      <c r="AD101" s="55">
        <v>5</v>
      </c>
      <c r="AE101" s="31"/>
      <c r="AF101" s="31"/>
      <c r="AG101" s="46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U101" s="59"/>
      <c r="BV101" s="59"/>
      <c r="BW101" s="59"/>
      <c r="BX101" s="59"/>
      <c r="BY101" s="59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</row>
    <row r="102" spans="1:91" x14ac:dyDescent="0.2">
      <c r="A102" s="31"/>
      <c r="B102" s="67">
        <v>83</v>
      </c>
      <c r="C102" s="51">
        <v>6</v>
      </c>
      <c r="D102" s="55">
        <v>13</v>
      </c>
      <c r="E102" s="37">
        <v>6</v>
      </c>
      <c r="F102" s="37">
        <f t="shared" si="33"/>
        <v>1</v>
      </c>
      <c r="G102" s="37" cm="1">
        <f t="array" ref="G102">IF(E102&lt;=INDEX($B$4:$B$17,C102),1,0)</f>
        <v>1</v>
      </c>
      <c r="H102" s="120">
        <f t="shared" ca="1" si="35"/>
        <v>146.94518583294871</v>
      </c>
      <c r="I102" s="38">
        <f>I95</f>
        <v>147</v>
      </c>
      <c r="J102" s="80">
        <f t="shared" ca="1" si="37"/>
        <v>338.72390499357505</v>
      </c>
      <c r="K102" s="80">
        <f t="shared" ca="1" si="34"/>
        <v>338.77871916062634</v>
      </c>
      <c r="L102" s="55">
        <f t="shared" ca="1" si="36"/>
        <v>0</v>
      </c>
      <c r="M102" s="55">
        <f t="shared" ca="1" si="38"/>
        <v>181.39178957269044</v>
      </c>
      <c r="N102" s="55"/>
      <c r="O102" s="31"/>
      <c r="P102" s="31"/>
      <c r="Q102" s="31"/>
      <c r="R102" s="31"/>
      <c r="S102" s="31"/>
      <c r="T102" s="31"/>
      <c r="U102" s="31"/>
      <c r="V102" s="31"/>
      <c r="W102" s="55">
        <v>83</v>
      </c>
      <c r="X102" s="80">
        <v>659.8969701732666</v>
      </c>
      <c r="Y102" s="80">
        <v>47</v>
      </c>
      <c r="Z102" s="80">
        <v>1157.9733690572712</v>
      </c>
      <c r="AA102" s="80">
        <v>298.50823488053078</v>
      </c>
      <c r="AB102" s="80">
        <v>1110.9733690572712</v>
      </c>
      <c r="AC102" s="80">
        <v>783.37010410048947</v>
      </c>
      <c r="AD102" s="55">
        <v>1</v>
      </c>
      <c r="AE102" s="31"/>
      <c r="AF102" s="31"/>
      <c r="AG102" s="46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U102" s="59"/>
      <c r="BV102" s="59"/>
      <c r="BW102" s="59"/>
      <c r="BX102" s="59"/>
      <c r="BY102" s="59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</row>
    <row r="103" spans="1:91" x14ac:dyDescent="0.2">
      <c r="A103" s="31"/>
      <c r="B103" s="70">
        <v>84</v>
      </c>
      <c r="C103" s="52">
        <v>6</v>
      </c>
      <c r="D103" s="57">
        <v>14</v>
      </c>
      <c r="E103" s="37">
        <v>7</v>
      </c>
      <c r="F103" s="37">
        <f t="shared" si="33"/>
        <v>0</v>
      </c>
      <c r="G103" s="37" cm="1">
        <f t="array" ref="G103">IF(E103&lt;=INDEX($B$4:$B$17,C103),1,0)</f>
        <v>0</v>
      </c>
      <c r="H103" s="120">
        <f t="shared" ca="1" si="35"/>
        <v>0</v>
      </c>
      <c r="I103" s="38">
        <f>IF(AND(sat_working=TRUE,E103=6),ROUNDDOWN(AVERAGE('Data for 2021'!I97:I101),0),'Data for 2021'!I102)</f>
        <v>0</v>
      </c>
      <c r="J103" s="80">
        <f t="shared" ca="1" si="37"/>
        <v>338.77871916062634</v>
      </c>
      <c r="K103" s="80">
        <f t="shared" ca="1" si="34"/>
        <v>338.77871916062634</v>
      </c>
      <c r="L103" s="55">
        <f t="shared" ca="1" si="36"/>
        <v>0</v>
      </c>
      <c r="M103" s="55">
        <f t="shared" ca="1" si="38"/>
        <v>146.94518583294871</v>
      </c>
      <c r="N103" s="55"/>
      <c r="O103" s="31"/>
      <c r="P103" s="31"/>
      <c r="Q103" s="31"/>
      <c r="R103" s="31"/>
      <c r="S103" s="31"/>
      <c r="T103" s="31"/>
      <c r="U103" s="31"/>
      <c r="V103" s="31"/>
      <c r="W103" s="55">
        <v>84</v>
      </c>
      <c r="X103" s="80">
        <v>693.39403611227124</v>
      </c>
      <c r="Y103" s="80">
        <v>47</v>
      </c>
      <c r="Z103" s="80">
        <v>1171.7885752462878</v>
      </c>
      <c r="AA103" s="80">
        <v>273.42994927387076</v>
      </c>
      <c r="AB103" s="80">
        <v>1124.7885752462878</v>
      </c>
      <c r="AC103" s="80">
        <v>707.68161639218044</v>
      </c>
      <c r="AD103" s="55">
        <v>1</v>
      </c>
      <c r="AE103" s="31"/>
      <c r="AF103" s="31"/>
      <c r="AG103" s="46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U103" s="59"/>
      <c r="BV103" s="59"/>
      <c r="BW103" s="59"/>
      <c r="BX103" s="59"/>
      <c r="BY103" s="59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</row>
    <row r="104" spans="1:91" x14ac:dyDescent="0.2">
      <c r="A104" s="31" t="s">
        <v>94</v>
      </c>
      <c r="B104" s="67">
        <v>85</v>
      </c>
      <c r="C104" s="50">
        <v>7</v>
      </c>
      <c r="D104" s="53">
        <v>1</v>
      </c>
      <c r="E104" s="35">
        <v>1</v>
      </c>
      <c r="F104" s="35">
        <f t="shared" si="33"/>
        <v>1</v>
      </c>
      <c r="G104" s="35" cm="1">
        <f t="array" ref="G104">IF(E104&lt;=INDEX($B$4:$B$17,C104),1,0)</f>
        <v>1</v>
      </c>
      <c r="H104" s="120">
        <f t="shared" ca="1" si="35"/>
        <v>192.1816702260889</v>
      </c>
      <c r="I104" s="38">
        <f>IF(AND(sat_working=TRUE,E104=6),ROUNDDOWN(AVERAGE('Data for 2021'!I98:I102),0),'Data for 2021'!I103)</f>
        <v>133</v>
      </c>
      <c r="J104" s="80">
        <f t="shared" ca="1" si="37"/>
        <v>338.77871916062634</v>
      </c>
      <c r="K104" s="80">
        <f t="shared" ca="1" si="34"/>
        <v>279.59704893453744</v>
      </c>
      <c r="L104" s="55">
        <f t="shared" ca="1" si="36"/>
        <v>0</v>
      </c>
      <c r="M104" s="55" t="str">
        <f t="shared" ca="1" si="38"/>
        <v/>
      </c>
      <c r="N104" s="55"/>
      <c r="O104" s="31"/>
      <c r="P104" s="31"/>
      <c r="Q104" s="31"/>
      <c r="R104" s="31"/>
      <c r="S104" s="31"/>
      <c r="T104" s="31"/>
      <c r="U104" s="31"/>
      <c r="V104" s="31"/>
      <c r="W104" s="55">
        <v>85</v>
      </c>
      <c r="X104" s="80">
        <v>595.14791815862066</v>
      </c>
      <c r="Y104" s="80">
        <v>38</v>
      </c>
      <c r="Z104" s="80">
        <v>970.65917481841348</v>
      </c>
      <c r="AA104" s="80">
        <v>212.20816809110619</v>
      </c>
      <c r="AB104" s="80">
        <v>932.65917481841348</v>
      </c>
      <c r="AC104" s="80">
        <v>657.86826017606336</v>
      </c>
      <c r="AD104" s="55">
        <v>2</v>
      </c>
      <c r="AE104" s="31"/>
      <c r="AF104" s="31"/>
      <c r="AG104" s="46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U104" s="59"/>
      <c r="BV104" s="59"/>
      <c r="BW104" s="59"/>
      <c r="BX104" s="59"/>
      <c r="BY104" s="59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</row>
    <row r="105" spans="1:91" x14ac:dyDescent="0.2">
      <c r="A105" s="31"/>
      <c r="B105" s="70">
        <v>86</v>
      </c>
      <c r="C105" s="51">
        <v>7</v>
      </c>
      <c r="D105" s="55">
        <v>2</v>
      </c>
      <c r="E105" s="37">
        <v>2</v>
      </c>
      <c r="F105" s="37">
        <f t="shared" si="33"/>
        <v>1</v>
      </c>
      <c r="G105" s="37" cm="1">
        <f t="array" ref="G105">IF(E105&lt;=INDEX($B$4:$B$17,C105),1,0)</f>
        <v>1</v>
      </c>
      <c r="H105" s="120">
        <f t="shared" ca="1" si="35"/>
        <v>165.87687849285007</v>
      </c>
      <c r="I105" s="38">
        <f>IF(AND(sat_working=TRUE,E105=6),ROUNDDOWN(AVERAGE('Data for 2021'!I99:I103),0),'Data for 2021'!I104)</f>
        <v>144</v>
      </c>
      <c r="J105" s="80">
        <f t="shared" ca="1" si="37"/>
        <v>279.59704893453744</v>
      </c>
      <c r="K105" s="80">
        <f t="shared" ca="1" si="34"/>
        <v>257.7201704416874</v>
      </c>
      <c r="L105" s="55">
        <f t="shared" ca="1" si="36"/>
        <v>0</v>
      </c>
      <c r="M105" s="55">
        <f t="shared" ca="1" si="38"/>
        <v>192.1816702260889</v>
      </c>
      <c r="N105" s="55"/>
      <c r="O105" s="31"/>
      <c r="P105" s="31"/>
      <c r="Q105" s="31"/>
      <c r="R105" s="31"/>
      <c r="S105" s="31"/>
      <c r="T105" s="31"/>
      <c r="U105" s="31"/>
      <c r="V105" s="31"/>
      <c r="W105" s="55">
        <v>86</v>
      </c>
      <c r="X105" s="80">
        <v>414.46971655598492</v>
      </c>
      <c r="Y105" s="80">
        <v>47</v>
      </c>
      <c r="Z105" s="80">
        <v>752.55368981369588</v>
      </c>
      <c r="AA105" s="80">
        <v>177.97786649715735</v>
      </c>
      <c r="AB105" s="80">
        <v>705.55368981369588</v>
      </c>
      <c r="AC105" s="80">
        <v>526.37302086649925</v>
      </c>
      <c r="AD105" s="55">
        <v>8</v>
      </c>
      <c r="AE105" s="31"/>
      <c r="AF105" s="31"/>
      <c r="AG105" s="46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U105" s="59"/>
      <c r="BV105" s="59"/>
      <c r="BW105" s="59"/>
      <c r="BX105" s="59"/>
      <c r="BY105" s="59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</row>
    <row r="106" spans="1:91" x14ac:dyDescent="0.2">
      <c r="A106" s="31"/>
      <c r="B106" s="67">
        <v>87</v>
      </c>
      <c r="C106" s="51">
        <v>7</v>
      </c>
      <c r="D106" s="55">
        <v>3</v>
      </c>
      <c r="E106" s="37">
        <v>3</v>
      </c>
      <c r="F106" s="37">
        <f t="shared" si="33"/>
        <v>1</v>
      </c>
      <c r="G106" s="37" cm="1">
        <f t="array" ref="G106">IF(E106&lt;=INDEX($B$4:$B$17,C106),1,0)</f>
        <v>1</v>
      </c>
      <c r="H106" s="120">
        <f t="shared" ca="1" si="35"/>
        <v>172.2777286435259</v>
      </c>
      <c r="I106" s="38">
        <f>IF(AND(sat_working=TRUE,E106=6),ROUNDDOWN(AVERAGE('Data for 2021'!I100:I104),0),'Data for 2021'!I105)</f>
        <v>119</v>
      </c>
      <c r="J106" s="80">
        <f t="shared" ca="1" si="37"/>
        <v>257.7201704416874</v>
      </c>
      <c r="K106" s="80">
        <f t="shared" ca="1" si="34"/>
        <v>204.4424417981615</v>
      </c>
      <c r="L106" s="55">
        <f t="shared" ca="1" si="36"/>
        <v>0</v>
      </c>
      <c r="M106" s="55">
        <f t="shared" ca="1" si="38"/>
        <v>165.87687849285007</v>
      </c>
      <c r="N106" s="55"/>
      <c r="O106" s="31"/>
      <c r="P106" s="31"/>
      <c r="Q106" s="31"/>
      <c r="R106" s="31"/>
      <c r="S106" s="31"/>
      <c r="T106" s="31"/>
      <c r="U106" s="31"/>
      <c r="V106" s="31"/>
      <c r="W106" s="55">
        <v>87</v>
      </c>
      <c r="X106" s="80">
        <v>453.44145515553612</v>
      </c>
      <c r="Y106" s="80">
        <v>47</v>
      </c>
      <c r="Z106" s="80">
        <v>750.61596875563805</v>
      </c>
      <c r="AA106" s="80">
        <v>178.07529959082336</v>
      </c>
      <c r="AB106" s="80">
        <v>703.61596875563805</v>
      </c>
      <c r="AC106" s="80">
        <v>287.66696174214741</v>
      </c>
      <c r="AD106" s="55">
        <v>5</v>
      </c>
      <c r="AE106" s="31"/>
      <c r="AF106" s="31"/>
      <c r="AG106" s="46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U106" s="59"/>
      <c r="BV106" s="59"/>
      <c r="BW106" s="59"/>
      <c r="BX106" s="59"/>
      <c r="BY106" s="59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</row>
    <row r="107" spans="1:91" x14ac:dyDescent="0.2">
      <c r="A107" s="31"/>
      <c r="B107" s="70">
        <v>88</v>
      </c>
      <c r="C107" s="51">
        <v>7</v>
      </c>
      <c r="D107" s="55">
        <v>4</v>
      </c>
      <c r="E107" s="37">
        <v>4</v>
      </c>
      <c r="F107" s="37">
        <f t="shared" si="33"/>
        <v>1</v>
      </c>
      <c r="G107" s="37" cm="1">
        <f t="array" ref="G107">IF(E107&lt;=INDEX($B$4:$B$17,C107),1,0)</f>
        <v>1</v>
      </c>
      <c r="H107" s="120">
        <f t="shared" ca="1" si="35"/>
        <v>184.76294029402388</v>
      </c>
      <c r="I107" s="38">
        <f>IF(AND(sat_working=TRUE,E107=6),ROUNDDOWN(AVERAGE('Data for 2021'!I101:I105),0),'Data for 2021'!I106)</f>
        <v>129</v>
      </c>
      <c r="J107" s="80">
        <f t="shared" ca="1" si="37"/>
        <v>204.4424417981615</v>
      </c>
      <c r="K107" s="80">
        <f t="shared" ca="1" si="34"/>
        <v>148.67950150413762</v>
      </c>
      <c r="L107" s="55">
        <f t="shared" ca="1" si="36"/>
        <v>0</v>
      </c>
      <c r="M107" s="55">
        <f t="shared" ca="1" si="38"/>
        <v>172.2777286435259</v>
      </c>
      <c r="N107" s="55"/>
      <c r="O107" s="31"/>
      <c r="P107" s="31"/>
      <c r="Q107" s="31"/>
      <c r="R107" s="31"/>
      <c r="S107" s="31"/>
      <c r="T107" s="31"/>
      <c r="U107" s="31"/>
      <c r="V107" s="31"/>
      <c r="W107" s="55">
        <v>88</v>
      </c>
      <c r="X107" s="80">
        <v>626.99034176018438</v>
      </c>
      <c r="Y107" s="80">
        <v>47</v>
      </c>
      <c r="Z107" s="80">
        <v>1038.5822887953232</v>
      </c>
      <c r="AA107" s="80">
        <v>261.1669397857417</v>
      </c>
      <c r="AB107" s="80">
        <v>991.58228879532317</v>
      </c>
      <c r="AC107" s="80">
        <v>574.25123466945831</v>
      </c>
      <c r="AD107" s="55">
        <v>1</v>
      </c>
      <c r="AE107" s="31"/>
      <c r="AF107" s="31"/>
      <c r="AG107" s="46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U107" s="59"/>
      <c r="BV107" s="59"/>
      <c r="BW107" s="59"/>
      <c r="BX107" s="59"/>
      <c r="BY107" s="59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</row>
    <row r="108" spans="1:91" x14ac:dyDescent="0.2">
      <c r="A108" s="31"/>
      <c r="B108" s="67">
        <v>89</v>
      </c>
      <c r="C108" s="51">
        <v>7</v>
      </c>
      <c r="D108" s="55">
        <v>5</v>
      </c>
      <c r="E108" s="37">
        <v>5</v>
      </c>
      <c r="F108" s="37">
        <f t="shared" si="33"/>
        <v>1</v>
      </c>
      <c r="G108" s="37" cm="1">
        <f t="array" ref="G108">IF(E108&lt;=INDEX($B$4:$B$17,C108),1,0)</f>
        <v>1</v>
      </c>
      <c r="H108" s="120">
        <f t="shared" ca="1" si="35"/>
        <v>148.67950150413762</v>
      </c>
      <c r="I108" s="38">
        <f>IF(AND(sat_working=TRUE,E108=6),ROUNDDOWN(AVERAGE('Data for 2021'!I102:I106),0),'Data for 2021'!I107)</f>
        <v>172</v>
      </c>
      <c r="J108" s="80">
        <f t="shared" ca="1" si="37"/>
        <v>148.67950150413762</v>
      </c>
      <c r="K108" s="80">
        <f t="shared" ca="1" si="34"/>
        <v>172.00000000000003</v>
      </c>
      <c r="L108" s="55">
        <f t="shared" ca="1" si="36"/>
        <v>1</v>
      </c>
      <c r="M108" s="55">
        <f t="shared" ca="1" si="38"/>
        <v>184.76294029402388</v>
      </c>
      <c r="N108" s="55"/>
      <c r="O108" s="31"/>
      <c r="P108" s="31"/>
      <c r="Q108" s="31"/>
      <c r="R108" s="31"/>
      <c r="S108" s="31"/>
      <c r="T108" s="31"/>
      <c r="U108" s="31"/>
      <c r="V108" s="31"/>
      <c r="W108" s="55">
        <v>89</v>
      </c>
      <c r="X108" s="80">
        <v>527.52203008113679</v>
      </c>
      <c r="Y108" s="80">
        <v>47</v>
      </c>
      <c r="Z108" s="80">
        <v>1001.21839339437</v>
      </c>
      <c r="AA108" s="80">
        <v>240.58867798678492</v>
      </c>
      <c r="AB108" s="80">
        <v>954.21839339436997</v>
      </c>
      <c r="AC108" s="80">
        <v>557.39975044746302</v>
      </c>
      <c r="AD108" s="55">
        <v>2</v>
      </c>
      <c r="AE108" s="31"/>
      <c r="AF108" s="31"/>
      <c r="AG108" s="46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U108" s="59"/>
      <c r="BV108" s="59"/>
      <c r="BW108" s="59"/>
      <c r="BX108" s="59"/>
      <c r="BY108" s="59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</row>
    <row r="109" spans="1:91" x14ac:dyDescent="0.2">
      <c r="A109" s="31"/>
      <c r="B109" s="70">
        <v>90</v>
      </c>
      <c r="C109" s="51">
        <v>7</v>
      </c>
      <c r="D109" s="55">
        <v>6</v>
      </c>
      <c r="E109" s="37">
        <v>6</v>
      </c>
      <c r="F109" s="37">
        <f t="shared" si="33"/>
        <v>1</v>
      </c>
      <c r="G109" s="37" cm="1">
        <f t="array" ref="G109">IF(E109&lt;=INDEX($B$4:$B$17,C109),1,0)</f>
        <v>0</v>
      </c>
      <c r="H109" s="120">
        <f t="shared" ca="1" si="35"/>
        <v>0</v>
      </c>
      <c r="I109" s="38">
        <f>IF(AND(sat_working=TRUE,E109=6),ROUNDDOWN(AVERAGE('Data for 2021'!I103:I107,'Data for 2021'!I110:I114),0),'Data for 2021'!I108)</f>
        <v>143</v>
      </c>
      <c r="J109" s="80">
        <f t="shared" ca="1" si="37"/>
        <v>172.00000000000003</v>
      </c>
      <c r="K109" s="80">
        <f t="shared" ca="1" si="34"/>
        <v>315</v>
      </c>
      <c r="L109" s="55">
        <f t="shared" ca="1" si="36"/>
        <v>0</v>
      </c>
      <c r="M109" s="55" t="str">
        <f t="shared" ca="1" si="38"/>
        <v/>
      </c>
      <c r="N109" s="55"/>
      <c r="O109" s="31"/>
      <c r="P109" s="31"/>
      <c r="Q109" s="31"/>
      <c r="R109" s="31"/>
      <c r="S109" s="31"/>
      <c r="T109" s="31"/>
      <c r="U109" s="31"/>
      <c r="V109" s="31"/>
      <c r="W109" s="55">
        <v>90</v>
      </c>
      <c r="X109" s="80">
        <v>549.41385131391098</v>
      </c>
      <c r="Y109" s="80">
        <v>47</v>
      </c>
      <c r="Z109" s="80">
        <v>1088.6475267751907</v>
      </c>
      <c r="AA109" s="80">
        <v>302.14485821159627</v>
      </c>
      <c r="AB109" s="80">
        <v>1041.6475267751907</v>
      </c>
      <c r="AC109" s="80">
        <v>694.18501918495735</v>
      </c>
      <c r="AD109" s="55">
        <v>6</v>
      </c>
      <c r="AE109" s="31"/>
      <c r="AF109" s="31"/>
      <c r="AG109" s="46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U109" s="59"/>
      <c r="BV109" s="59"/>
      <c r="BW109" s="59"/>
      <c r="BX109" s="59"/>
      <c r="BY109" s="59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</row>
    <row r="110" spans="1:91" x14ac:dyDescent="0.2">
      <c r="A110" s="31"/>
      <c r="B110" s="67">
        <v>91</v>
      </c>
      <c r="C110" s="51">
        <v>7</v>
      </c>
      <c r="D110" s="55">
        <v>7</v>
      </c>
      <c r="E110" s="37">
        <v>7</v>
      </c>
      <c r="F110" s="37">
        <f t="shared" si="33"/>
        <v>0</v>
      </c>
      <c r="G110" s="37" cm="1">
        <f t="array" ref="G110">IF(E110&lt;=INDEX($B$4:$B$17,C110),1,0)</f>
        <v>0</v>
      </c>
      <c r="H110" s="120">
        <f t="shared" ca="1" si="35"/>
        <v>0</v>
      </c>
      <c r="I110" s="38">
        <f>IF(AND(sat_working=TRUE,E110=6),ROUNDDOWN(AVERAGE('Data for 2021'!I104:I108),0),'Data for 2021'!I109)</f>
        <v>0</v>
      </c>
      <c r="J110" s="80">
        <f t="shared" ca="1" si="37"/>
        <v>315</v>
      </c>
      <c r="K110" s="80">
        <f t="shared" ca="1" si="34"/>
        <v>315</v>
      </c>
      <c r="L110" s="55">
        <f t="shared" ca="1" si="36"/>
        <v>0</v>
      </c>
      <c r="M110" s="55" t="str">
        <f t="shared" ca="1" si="38"/>
        <v/>
      </c>
      <c r="N110" s="55"/>
      <c r="O110" s="31"/>
      <c r="P110" s="31"/>
      <c r="Q110" s="31"/>
      <c r="R110" s="31"/>
      <c r="S110" s="31"/>
      <c r="T110" s="31"/>
      <c r="U110" s="31"/>
      <c r="V110" s="31"/>
      <c r="W110" s="55">
        <v>91</v>
      </c>
      <c r="X110" s="80">
        <v>384.56089284952145</v>
      </c>
      <c r="Y110" s="80">
        <v>47</v>
      </c>
      <c r="Z110" s="80">
        <v>648.07668096111638</v>
      </c>
      <c r="AA110" s="80">
        <v>129.44440920917469</v>
      </c>
      <c r="AB110" s="80">
        <v>601.07668096111638</v>
      </c>
      <c r="AC110" s="80">
        <v>282.65583486522041</v>
      </c>
      <c r="AD110" s="55">
        <v>4</v>
      </c>
      <c r="AE110" s="31"/>
      <c r="AF110" s="31"/>
      <c r="AG110" s="46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U110" s="59"/>
      <c r="BV110" s="59"/>
      <c r="BW110" s="59"/>
      <c r="BX110" s="59"/>
      <c r="BY110" s="59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</row>
    <row r="111" spans="1:91" x14ac:dyDescent="0.2">
      <c r="A111" s="31"/>
      <c r="B111" s="70">
        <v>92</v>
      </c>
      <c r="C111" s="51">
        <v>7</v>
      </c>
      <c r="D111" s="55">
        <v>8</v>
      </c>
      <c r="E111" s="35">
        <v>1</v>
      </c>
      <c r="F111" s="35">
        <f t="shared" si="33"/>
        <v>1</v>
      </c>
      <c r="G111" s="37" cm="1">
        <f t="array" ref="G111">IF(E111&lt;=INDEX($B$4:$B$17,C111),1,0)</f>
        <v>1</v>
      </c>
      <c r="H111" s="120">
        <f t="shared" ca="1" si="35"/>
        <v>154.92202612240231</v>
      </c>
      <c r="I111" s="38">
        <f>IF(AND(sat_working=TRUE,E111=6),ROUNDDOWN(AVERAGE('Data for 2021'!I105:I109),0),'Data for 2021'!I110)</f>
        <v>142</v>
      </c>
      <c r="J111" s="80">
        <f t="shared" ca="1" si="37"/>
        <v>315</v>
      </c>
      <c r="K111" s="80">
        <f t="shared" ca="1" si="34"/>
        <v>302.07797387759769</v>
      </c>
      <c r="L111" s="55">
        <f t="shared" ca="1" si="36"/>
        <v>0</v>
      </c>
      <c r="M111" s="55" t="str">
        <f t="shared" ca="1" si="38"/>
        <v/>
      </c>
      <c r="N111" s="55"/>
      <c r="O111" s="31"/>
      <c r="P111" s="31"/>
      <c r="Q111" s="31"/>
      <c r="R111" s="31"/>
      <c r="S111" s="31"/>
      <c r="T111" s="31"/>
      <c r="U111" s="31"/>
      <c r="V111" s="31"/>
      <c r="W111" s="55">
        <v>92</v>
      </c>
      <c r="X111" s="80">
        <v>570.21631513500267</v>
      </c>
      <c r="Y111" s="80">
        <v>47</v>
      </c>
      <c r="Z111" s="80">
        <v>1127.2251103816245</v>
      </c>
      <c r="AA111" s="80">
        <v>277.45037306422364</v>
      </c>
      <c r="AB111" s="80">
        <v>1080.2251103816245</v>
      </c>
      <c r="AC111" s="80">
        <v>602.92889009150031</v>
      </c>
      <c r="AD111" s="55">
        <v>1</v>
      </c>
      <c r="AE111" s="31"/>
      <c r="AF111" s="31"/>
      <c r="AG111" s="46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U111" s="59"/>
      <c r="BV111" s="59"/>
      <c r="BW111" s="59"/>
      <c r="BX111" s="59"/>
      <c r="BY111" s="59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</row>
    <row r="112" spans="1:91" x14ac:dyDescent="0.2">
      <c r="A112" s="31"/>
      <c r="B112" s="67">
        <v>93</v>
      </c>
      <c r="C112" s="51">
        <v>7</v>
      </c>
      <c r="D112" s="55">
        <v>9</v>
      </c>
      <c r="E112" s="37">
        <v>2</v>
      </c>
      <c r="F112" s="37">
        <f t="shared" si="33"/>
        <v>1</v>
      </c>
      <c r="G112" s="37" cm="1">
        <f t="array" ref="G112">IF(E112&lt;=INDEX($B$4:$B$17,C112),1,0)</f>
        <v>1</v>
      </c>
      <c r="H112" s="120">
        <f t="shared" ca="1" si="35"/>
        <v>162.51645103852147</v>
      </c>
      <c r="I112" s="38">
        <f>IF(AND(sat_working=TRUE,E112=6),ROUNDDOWN(AVERAGE('Data for 2021'!I106:I110),0),'Data for 2021'!I111)</f>
        <v>151</v>
      </c>
      <c r="J112" s="80">
        <f t="shared" ca="1" si="37"/>
        <v>302.07797387759769</v>
      </c>
      <c r="K112" s="80">
        <f t="shared" ca="1" si="34"/>
        <v>290.56152283907625</v>
      </c>
      <c r="L112" s="55">
        <f t="shared" ca="1" si="36"/>
        <v>0</v>
      </c>
      <c r="M112" s="55">
        <f t="shared" ca="1" si="38"/>
        <v>154.92202612240231</v>
      </c>
      <c r="N112" s="55"/>
      <c r="O112" s="31"/>
      <c r="P112" s="31"/>
      <c r="Q112" s="31"/>
      <c r="R112" s="31"/>
      <c r="S112" s="31"/>
      <c r="T112" s="31"/>
      <c r="U112" s="31"/>
      <c r="V112" s="31"/>
      <c r="W112" s="55">
        <v>93</v>
      </c>
      <c r="X112" s="80">
        <v>539.88754372614756</v>
      </c>
      <c r="Y112" s="80">
        <v>47</v>
      </c>
      <c r="Z112" s="80">
        <v>1042.9895269453564</v>
      </c>
      <c r="AA112" s="80">
        <v>270.36320987730193</v>
      </c>
      <c r="AB112" s="80">
        <v>995.98952694535637</v>
      </c>
      <c r="AC112" s="80">
        <v>811.36679628245702</v>
      </c>
      <c r="AD112" s="55">
        <v>1</v>
      </c>
      <c r="AE112" s="31"/>
      <c r="AF112" s="31"/>
      <c r="AG112" s="46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U112" s="59"/>
      <c r="BV112" s="59"/>
      <c r="BW112" s="59"/>
      <c r="BX112" s="59"/>
      <c r="BY112" s="59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</row>
    <row r="113" spans="1:91" x14ac:dyDescent="0.2">
      <c r="A113" s="31"/>
      <c r="B113" s="70">
        <v>94</v>
      </c>
      <c r="C113" s="51">
        <v>7</v>
      </c>
      <c r="D113" s="55">
        <v>10</v>
      </c>
      <c r="E113" s="37">
        <v>3</v>
      </c>
      <c r="F113" s="37">
        <f t="shared" si="33"/>
        <v>1</v>
      </c>
      <c r="G113" s="37" cm="1">
        <f t="array" ref="G113">IF(E113&lt;=INDEX($B$4:$B$17,C113),1,0)</f>
        <v>1</v>
      </c>
      <c r="H113" s="120">
        <f t="shared" ca="1" si="35"/>
        <v>146.78073917679802</v>
      </c>
      <c r="I113" s="38">
        <f>IF(AND(sat_working=TRUE,E113=6),ROUNDDOWN(AVERAGE('Data for 2021'!I107:I111),0),'Data for 2021'!I112)</f>
        <v>173</v>
      </c>
      <c r="J113" s="80">
        <f t="shared" ca="1" si="37"/>
        <v>290.56152283907625</v>
      </c>
      <c r="K113" s="80">
        <f t="shared" ca="1" si="34"/>
        <v>316.78078366227822</v>
      </c>
      <c r="L113" s="55">
        <f t="shared" ca="1" si="36"/>
        <v>0</v>
      </c>
      <c r="M113" s="55">
        <f t="shared" ca="1" si="38"/>
        <v>162.51645103852147</v>
      </c>
      <c r="N113" s="55"/>
      <c r="O113" s="31"/>
      <c r="P113" s="31"/>
      <c r="Q113" s="31"/>
      <c r="R113" s="31"/>
      <c r="S113" s="31"/>
      <c r="T113" s="31"/>
      <c r="U113" s="31"/>
      <c r="V113" s="31"/>
      <c r="W113" s="55">
        <v>94</v>
      </c>
      <c r="X113" s="80">
        <v>553.78694395237801</v>
      </c>
      <c r="Y113" s="80">
        <v>38</v>
      </c>
      <c r="Z113" s="80">
        <v>1092.4817576383516</v>
      </c>
      <c r="AA113" s="80">
        <v>292.56903012071183</v>
      </c>
      <c r="AB113" s="80">
        <v>1054.4817576383516</v>
      </c>
      <c r="AC113" s="80">
        <v>653.49966850741362</v>
      </c>
      <c r="AD113" s="55">
        <v>4</v>
      </c>
      <c r="AE113" s="31"/>
      <c r="AF113" s="31"/>
      <c r="AG113" s="46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U113" s="59"/>
      <c r="BV113" s="59"/>
      <c r="BW113" s="59"/>
      <c r="BX113" s="59"/>
      <c r="BY113" s="59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</row>
    <row r="114" spans="1:91" x14ac:dyDescent="0.2">
      <c r="A114" s="31"/>
      <c r="B114" s="67">
        <v>95</v>
      </c>
      <c r="C114" s="51">
        <v>7</v>
      </c>
      <c r="D114" s="55">
        <v>11</v>
      </c>
      <c r="E114" s="37">
        <v>4</v>
      </c>
      <c r="F114" s="37">
        <f t="shared" si="33"/>
        <v>1</v>
      </c>
      <c r="G114" s="37" cm="1">
        <f t="array" ref="G114">IF(E114&lt;=INDEX($B$4:$B$17,C114),1,0)</f>
        <v>1</v>
      </c>
      <c r="H114" s="120">
        <f t="shared" ca="1" si="35"/>
        <v>143.90679273641121</v>
      </c>
      <c r="I114" s="38">
        <f>IF(AND(sat_working=TRUE,E114=6),ROUNDDOWN(AVERAGE('Data for 2021'!I108:I112),0),'Data for 2021'!I113)</f>
        <v>127</v>
      </c>
      <c r="J114" s="80">
        <f t="shared" ca="1" si="37"/>
        <v>316.78078366227822</v>
      </c>
      <c r="K114" s="80">
        <f t="shared" ca="1" si="34"/>
        <v>299.87399092586702</v>
      </c>
      <c r="L114" s="55">
        <f t="shared" ca="1" si="36"/>
        <v>0</v>
      </c>
      <c r="M114" s="55">
        <f t="shared" ca="1" si="38"/>
        <v>146.78073917679802</v>
      </c>
      <c r="N114" s="55"/>
      <c r="O114" s="31"/>
      <c r="P114" s="31"/>
      <c r="Q114" s="31"/>
      <c r="R114" s="31"/>
      <c r="S114" s="31"/>
      <c r="T114" s="31"/>
      <c r="U114" s="31"/>
      <c r="V114" s="31"/>
      <c r="W114" s="55">
        <v>95</v>
      </c>
      <c r="X114" s="80">
        <v>585.31306541662184</v>
      </c>
      <c r="Y114" s="80">
        <v>39.088985538137166</v>
      </c>
      <c r="Z114" s="80">
        <v>1281.793563588195</v>
      </c>
      <c r="AA114" s="80">
        <v>384.15593147498743</v>
      </c>
      <c r="AB114" s="80">
        <v>1242.7045780500578</v>
      </c>
      <c r="AC114" s="80">
        <v>836.28966040094315</v>
      </c>
      <c r="AD114" s="55">
        <v>9</v>
      </c>
      <c r="AE114" s="31"/>
      <c r="AF114" s="31"/>
      <c r="AG114" s="46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U114" s="59"/>
      <c r="BV114" s="59"/>
      <c r="BW114" s="59"/>
      <c r="BX114" s="59"/>
      <c r="BY114" s="59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</row>
    <row r="115" spans="1:91" x14ac:dyDescent="0.2">
      <c r="A115" s="31"/>
      <c r="B115" s="70">
        <v>96</v>
      </c>
      <c r="C115" s="51">
        <v>7</v>
      </c>
      <c r="D115" s="55">
        <v>12</v>
      </c>
      <c r="E115" s="37">
        <v>5</v>
      </c>
      <c r="F115" s="37">
        <f t="shared" si="33"/>
        <v>1</v>
      </c>
      <c r="G115" s="37" cm="1">
        <f t="array" ref="G115">IF(E115&lt;=INDEX($B$4:$B$17,C115),1,0)</f>
        <v>1</v>
      </c>
      <c r="H115" s="120">
        <f t="shared" ca="1" si="35"/>
        <v>138.22218597607474</v>
      </c>
      <c r="I115" s="38">
        <f>IF(AND(sat_working=TRUE,E115=6),ROUNDDOWN(AVERAGE('Data for 2021'!I109:I113),0),'Data for 2021'!I114)</f>
        <v>143</v>
      </c>
      <c r="J115" s="80">
        <f t="shared" ca="1" si="37"/>
        <v>299.87399092586702</v>
      </c>
      <c r="K115" s="80">
        <f t="shared" ca="1" si="34"/>
        <v>304.65180494979228</v>
      </c>
      <c r="L115" s="55">
        <f t="shared" ca="1" si="36"/>
        <v>0</v>
      </c>
      <c r="M115" s="55">
        <f t="shared" ca="1" si="38"/>
        <v>143.90679273641121</v>
      </c>
      <c r="N115" s="55"/>
      <c r="O115" s="31"/>
      <c r="P115" s="31"/>
      <c r="Q115" s="31"/>
      <c r="R115" s="31"/>
      <c r="S115" s="31"/>
      <c r="T115" s="31"/>
      <c r="U115" s="31"/>
      <c r="V115" s="31"/>
      <c r="W115" s="55">
        <v>96</v>
      </c>
      <c r="X115" s="80">
        <v>628.53329574691327</v>
      </c>
      <c r="Y115" s="80">
        <v>47</v>
      </c>
      <c r="Z115" s="80">
        <v>1094.7138080148704</v>
      </c>
      <c r="AA115" s="80">
        <v>280.83340112328023</v>
      </c>
      <c r="AB115" s="80">
        <v>1047.7138080148704</v>
      </c>
      <c r="AC115" s="80">
        <v>668.95247278235502</v>
      </c>
      <c r="AD115" s="55">
        <v>1</v>
      </c>
      <c r="AE115" s="31"/>
      <c r="AF115" s="31"/>
      <c r="AG115" s="46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U115" s="59"/>
      <c r="BV115" s="59"/>
      <c r="BW115" s="59"/>
      <c r="BX115" s="59"/>
      <c r="BY115" s="59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</row>
    <row r="116" spans="1:91" x14ac:dyDescent="0.2">
      <c r="A116" s="31"/>
      <c r="B116" s="67">
        <v>97</v>
      </c>
      <c r="C116" s="51">
        <v>7</v>
      </c>
      <c r="D116" s="55">
        <v>13</v>
      </c>
      <c r="E116" s="37">
        <v>6</v>
      </c>
      <c r="F116" s="37">
        <f t="shared" ref="F116:F147" si="39">IF(OR(I116&lt;&gt;0,(AND(sat_working=TRUE,E116=6))),1,0)</f>
        <v>1</v>
      </c>
      <c r="G116" s="37" cm="1">
        <f t="array" ref="G116">IF(E116&lt;=INDEX($B$4:$B$17,C116),1,0)</f>
        <v>0</v>
      </c>
      <c r="H116" s="120">
        <f t="shared" ca="1" si="35"/>
        <v>0</v>
      </c>
      <c r="I116" s="38">
        <f>I109</f>
        <v>143</v>
      </c>
      <c r="J116" s="80">
        <f t="shared" ca="1" si="37"/>
        <v>304.65180494979228</v>
      </c>
      <c r="K116" s="80">
        <f t="shared" ref="K116:K147" ca="1" si="40">J116+I116-H116</f>
        <v>447.65180494979228</v>
      </c>
      <c r="L116" s="55">
        <f t="shared" ca="1" si="36"/>
        <v>0</v>
      </c>
      <c r="M116" s="55">
        <f t="shared" ca="1" si="38"/>
        <v>138.22218597607474</v>
      </c>
      <c r="N116" s="55"/>
      <c r="O116" s="31"/>
      <c r="P116" s="31"/>
      <c r="Q116" s="31"/>
      <c r="R116" s="31"/>
      <c r="S116" s="31"/>
      <c r="T116" s="31"/>
      <c r="U116" s="31"/>
      <c r="V116" s="31"/>
      <c r="W116" s="55">
        <v>97</v>
      </c>
      <c r="X116" s="80">
        <v>703.71943662213494</v>
      </c>
      <c r="Y116" s="80">
        <v>46.965809367228559</v>
      </c>
      <c r="Z116" s="80">
        <v>1391.8003273218881</v>
      </c>
      <c r="AA116" s="80">
        <v>375.76766025523523</v>
      </c>
      <c r="AB116" s="80">
        <v>1344.8345179546595</v>
      </c>
      <c r="AC116" s="80">
        <v>928.68185844626112</v>
      </c>
      <c r="AD116" s="55">
        <v>1</v>
      </c>
      <c r="AE116" s="31"/>
      <c r="AF116" s="31"/>
      <c r="AG116" s="46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U116" s="59"/>
      <c r="BV116" s="59"/>
      <c r="BW116" s="59"/>
      <c r="BX116" s="59"/>
      <c r="BY116" s="59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</row>
    <row r="117" spans="1:91" x14ac:dyDescent="0.2">
      <c r="A117" s="31"/>
      <c r="B117" s="70">
        <v>98</v>
      </c>
      <c r="C117" s="52">
        <v>7</v>
      </c>
      <c r="D117" s="57">
        <v>14</v>
      </c>
      <c r="E117" s="37">
        <v>7</v>
      </c>
      <c r="F117" s="37">
        <f t="shared" si="39"/>
        <v>0</v>
      </c>
      <c r="G117" s="37" cm="1">
        <f t="array" ref="G117">IF(E117&lt;=INDEX($B$4:$B$17,C117),1,0)</f>
        <v>0</v>
      </c>
      <c r="H117" s="120">
        <f t="shared" ref="H117:H148" ca="1" si="41">IF(G117=1,IF(cutting_choice=1, MIN(J117,$H$12),MIN(J117,NORMINV(RAND(),$H$13,$H$14))),0)</f>
        <v>0</v>
      </c>
      <c r="I117" s="38">
        <f>IF(AND(sat_working=TRUE,E117=6),ROUNDDOWN(AVERAGE('Data for 2021'!I111:I115),0),'Data for 2021'!I116)</f>
        <v>0</v>
      </c>
      <c r="J117" s="80">
        <f t="shared" ca="1" si="37"/>
        <v>447.65180494979228</v>
      </c>
      <c r="K117" s="80">
        <f t="shared" ca="1" si="40"/>
        <v>447.65180494979228</v>
      </c>
      <c r="L117" s="55">
        <f t="shared" ref="L117:L148" ca="1" si="42">IF(AND(H117=J117,G117),1,0)</f>
        <v>0</v>
      </c>
      <c r="M117" s="55" t="str">
        <f t="shared" ca="1" si="38"/>
        <v/>
      </c>
      <c r="N117" s="55"/>
      <c r="O117" s="31"/>
      <c r="P117" s="31"/>
      <c r="Q117" s="31"/>
      <c r="R117" s="31"/>
      <c r="S117" s="31"/>
      <c r="T117" s="31"/>
      <c r="U117" s="31"/>
      <c r="V117" s="31"/>
      <c r="W117" s="55">
        <v>98</v>
      </c>
      <c r="X117" s="80">
        <v>559.08082954347253</v>
      </c>
      <c r="Y117" s="80">
        <v>46.122559168749234</v>
      </c>
      <c r="Z117" s="80">
        <v>1045.7194444901529</v>
      </c>
      <c r="AA117" s="80">
        <v>276.20895107319762</v>
      </c>
      <c r="AB117" s="80">
        <v>999.59688532140365</v>
      </c>
      <c r="AC117" s="80">
        <v>681.59724687472647</v>
      </c>
      <c r="AD117" s="55">
        <v>5</v>
      </c>
      <c r="AE117" s="31"/>
      <c r="AF117" s="31"/>
      <c r="AG117" s="46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U117" s="59"/>
      <c r="BV117" s="59"/>
      <c r="BW117" s="59"/>
      <c r="BX117" s="59"/>
      <c r="BY117" s="59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</row>
    <row r="118" spans="1:91" x14ac:dyDescent="0.2">
      <c r="A118" s="31" t="s">
        <v>93</v>
      </c>
      <c r="B118" s="67">
        <v>99</v>
      </c>
      <c r="C118" s="50">
        <v>8</v>
      </c>
      <c r="D118" s="53">
        <v>1</v>
      </c>
      <c r="E118" s="35">
        <v>1</v>
      </c>
      <c r="F118" s="35">
        <f t="shared" si="39"/>
        <v>1</v>
      </c>
      <c r="G118" s="35" cm="1">
        <f t="array" ref="G118">IF(E118&lt;=INDEX($B$4:$B$17,C118),1,0)</f>
        <v>1</v>
      </c>
      <c r="H118" s="120">
        <f t="shared" ca="1" si="41"/>
        <v>126.41832372061086</v>
      </c>
      <c r="I118" s="38">
        <f>IF(AND(sat_working=TRUE,E118=6),ROUNDDOWN(AVERAGE('Data for 2021'!I112:I116),0),'Data for 2021'!I117)</f>
        <v>189</v>
      </c>
      <c r="J118" s="80">
        <f t="shared" ca="1" si="37"/>
        <v>447.65180494979228</v>
      </c>
      <c r="K118" s="80">
        <f t="shared" ca="1" si="40"/>
        <v>510.23348122918139</v>
      </c>
      <c r="L118" s="55">
        <f t="shared" ca="1" si="42"/>
        <v>0</v>
      </c>
      <c r="M118" s="55" t="str">
        <f t="shared" ca="1" si="38"/>
        <v/>
      </c>
      <c r="N118" s="55"/>
      <c r="O118" s="31"/>
      <c r="P118" s="31"/>
      <c r="Q118" s="31"/>
      <c r="R118" s="31"/>
      <c r="S118" s="31"/>
      <c r="T118" s="31"/>
      <c r="U118" s="31"/>
      <c r="V118" s="31"/>
      <c r="W118" s="55">
        <v>99</v>
      </c>
      <c r="X118" s="80">
        <v>646.01815841403686</v>
      </c>
      <c r="Y118" s="80">
        <v>47</v>
      </c>
      <c r="Z118" s="80">
        <v>1272.038474671155</v>
      </c>
      <c r="AA118" s="80">
        <v>355.9184348665284</v>
      </c>
      <c r="AB118" s="80">
        <v>1225.038474671155</v>
      </c>
      <c r="AC118" s="80">
        <v>996.22157306718145</v>
      </c>
      <c r="AD118" s="55">
        <v>1</v>
      </c>
      <c r="AE118" s="31"/>
      <c r="AF118" s="31"/>
      <c r="AG118" s="46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U118" s="59"/>
      <c r="BV118" s="59"/>
      <c r="BW118" s="59"/>
      <c r="BX118" s="59"/>
      <c r="BY118" s="59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</row>
    <row r="119" spans="1:91" x14ac:dyDescent="0.2">
      <c r="A119" s="31"/>
      <c r="B119" s="70">
        <v>100</v>
      </c>
      <c r="C119" s="51">
        <v>8</v>
      </c>
      <c r="D119" s="55">
        <v>2</v>
      </c>
      <c r="E119" s="37">
        <v>2</v>
      </c>
      <c r="F119" s="37">
        <f t="shared" si="39"/>
        <v>1</v>
      </c>
      <c r="G119" s="37" cm="1">
        <f t="array" ref="G119">IF(E119&lt;=INDEX($B$4:$B$17,C119),1,0)</f>
        <v>1</v>
      </c>
      <c r="H119" s="120">
        <f t="shared" ca="1" si="41"/>
        <v>157.02810050409391</v>
      </c>
      <c r="I119" s="38">
        <f>IF(AND(sat_working=TRUE,E119=6),ROUNDDOWN(AVERAGE('Data for 2021'!I113:I117),0),'Data for 2021'!I118)</f>
        <v>169</v>
      </c>
      <c r="J119" s="80">
        <f t="shared" ca="1" si="37"/>
        <v>510.23348122918139</v>
      </c>
      <c r="K119" s="80">
        <f t="shared" ca="1" si="40"/>
        <v>522.20538072508748</v>
      </c>
      <c r="L119" s="55">
        <f t="shared" ca="1" si="42"/>
        <v>0</v>
      </c>
      <c r="M119" s="55">
        <f t="shared" ca="1" si="38"/>
        <v>126.41832372061086</v>
      </c>
      <c r="N119" s="55"/>
      <c r="O119" s="31"/>
      <c r="P119" s="31"/>
      <c r="Q119" s="31"/>
      <c r="R119" s="31"/>
      <c r="S119" s="31"/>
      <c r="T119" s="31"/>
      <c r="U119" s="31"/>
      <c r="V119" s="31"/>
      <c r="W119" s="55">
        <v>100</v>
      </c>
      <c r="X119" s="80">
        <v>681.43932245561109</v>
      </c>
      <c r="Y119" s="80">
        <v>47</v>
      </c>
      <c r="Z119" s="80">
        <v>1154.9701820541595</v>
      </c>
      <c r="AA119" s="80">
        <v>317.04720295855623</v>
      </c>
      <c r="AB119" s="80">
        <v>1107.9701820541595</v>
      </c>
      <c r="AC119" s="80">
        <v>736.85539193404179</v>
      </c>
      <c r="AD119" s="55">
        <v>2</v>
      </c>
      <c r="AE119" s="31"/>
      <c r="AF119" s="31"/>
      <c r="AG119" s="46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U119" s="59"/>
      <c r="BV119" s="59"/>
      <c r="BW119" s="59"/>
      <c r="BX119" s="59"/>
      <c r="BY119" s="59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</row>
    <row r="120" spans="1:91" x14ac:dyDescent="0.2">
      <c r="A120" s="31"/>
      <c r="B120" s="67">
        <v>101</v>
      </c>
      <c r="C120" s="51">
        <v>8</v>
      </c>
      <c r="D120" s="55">
        <v>3</v>
      </c>
      <c r="E120" s="37">
        <v>3</v>
      </c>
      <c r="F120" s="37">
        <f t="shared" si="39"/>
        <v>1</v>
      </c>
      <c r="G120" s="37" cm="1">
        <f t="array" ref="G120">IF(E120&lt;=INDEX($B$4:$B$17,C120),1,0)</f>
        <v>1</v>
      </c>
      <c r="H120" s="120">
        <f t="shared" ca="1" si="41"/>
        <v>172.83114103671488</v>
      </c>
      <c r="I120" s="38">
        <f>IF(AND(sat_working=TRUE,E120=6),ROUNDDOWN(AVERAGE('Data for 2021'!I114:I118),0),'Data for 2021'!I119)</f>
        <v>132</v>
      </c>
      <c r="J120" s="80">
        <f t="shared" ca="1" si="37"/>
        <v>522.20538072508748</v>
      </c>
      <c r="K120" s="80">
        <f t="shared" ca="1" si="40"/>
        <v>481.3742396883726</v>
      </c>
      <c r="L120" s="55">
        <f t="shared" ca="1" si="42"/>
        <v>0</v>
      </c>
      <c r="M120" s="55">
        <f t="shared" ca="1" si="38"/>
        <v>157.02810050409391</v>
      </c>
      <c r="N120" s="55"/>
      <c r="O120" s="31"/>
      <c r="P120" s="31"/>
      <c r="Q120" s="31"/>
      <c r="R120" s="31"/>
      <c r="S120" s="31"/>
      <c r="T120" s="31"/>
      <c r="U120" s="31"/>
      <c r="V120" s="31"/>
      <c r="W120" s="31"/>
      <c r="X120" s="77"/>
      <c r="Y120" s="31"/>
      <c r="Z120" s="31"/>
      <c r="AA120" s="77"/>
      <c r="AB120" s="31"/>
      <c r="AC120" s="31"/>
      <c r="AD120" s="31"/>
      <c r="AE120" s="31"/>
      <c r="AF120" s="31"/>
      <c r="AG120" s="46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U120" s="59"/>
      <c r="BV120" s="59"/>
      <c r="BW120" s="59"/>
      <c r="BX120" s="59"/>
      <c r="BY120" s="59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</row>
    <row r="121" spans="1:91" x14ac:dyDescent="0.2">
      <c r="A121" s="31"/>
      <c r="B121" s="70">
        <v>102</v>
      </c>
      <c r="C121" s="51">
        <v>8</v>
      </c>
      <c r="D121" s="55">
        <v>4</v>
      </c>
      <c r="E121" s="37">
        <v>4</v>
      </c>
      <c r="F121" s="37">
        <f t="shared" si="39"/>
        <v>1</v>
      </c>
      <c r="G121" s="37" cm="1">
        <f t="array" ref="G121">IF(E121&lt;=INDEX($B$4:$B$17,C121),1,0)</f>
        <v>1</v>
      </c>
      <c r="H121" s="120">
        <f t="shared" ca="1" si="41"/>
        <v>163.76990899468595</v>
      </c>
      <c r="I121" s="38">
        <f>IF(AND(sat_working=TRUE,E121=6),ROUNDDOWN(AVERAGE('Data for 2021'!I115:I119),0),'Data for 2021'!I120)</f>
        <v>198</v>
      </c>
      <c r="J121" s="80">
        <f t="shared" ca="1" si="37"/>
        <v>481.3742396883726</v>
      </c>
      <c r="K121" s="80">
        <f t="shared" ca="1" si="40"/>
        <v>515.60433069368673</v>
      </c>
      <c r="L121" s="55">
        <f t="shared" ca="1" si="42"/>
        <v>0</v>
      </c>
      <c r="M121" s="55">
        <f t="shared" ca="1" si="38"/>
        <v>172.83114103671488</v>
      </c>
      <c r="N121" s="55"/>
      <c r="O121" s="31"/>
      <c r="P121" s="31"/>
      <c r="Q121" s="31"/>
      <c r="R121" s="31"/>
      <c r="S121" s="31"/>
      <c r="T121" s="31"/>
      <c r="U121" s="31"/>
      <c r="V121" s="31"/>
      <c r="W121" s="31"/>
      <c r="X121" s="77"/>
      <c r="Y121" s="31"/>
      <c r="Z121" s="31"/>
      <c r="AA121" s="77"/>
      <c r="AB121" s="31"/>
      <c r="AC121" s="31"/>
      <c r="AD121" s="31"/>
      <c r="AE121" s="31"/>
      <c r="AF121" s="31"/>
      <c r="AG121" s="46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</row>
    <row r="122" spans="1:91" x14ac:dyDescent="0.2">
      <c r="A122" s="31"/>
      <c r="B122" s="67">
        <v>103</v>
      </c>
      <c r="C122" s="51">
        <v>8</v>
      </c>
      <c r="D122" s="55">
        <v>5</v>
      </c>
      <c r="E122" s="37">
        <v>5</v>
      </c>
      <c r="F122" s="37">
        <f t="shared" si="39"/>
        <v>1</v>
      </c>
      <c r="G122" s="37" cm="1">
        <f t="array" ref="G122">IF(E122&lt;=INDEX($B$4:$B$17,C122),1,0)</f>
        <v>1</v>
      </c>
      <c r="H122" s="120">
        <f t="shared" ca="1" si="41"/>
        <v>166.84278695307466</v>
      </c>
      <c r="I122" s="38">
        <f>IF(AND(sat_working=TRUE,E122=6),ROUNDDOWN(AVERAGE('Data for 2021'!I116:I120),0),'Data for 2021'!I121)</f>
        <v>124</v>
      </c>
      <c r="J122" s="80">
        <f t="shared" ca="1" si="37"/>
        <v>515.60433069368673</v>
      </c>
      <c r="K122" s="80">
        <f t="shared" ca="1" si="40"/>
        <v>472.76154374061207</v>
      </c>
      <c r="L122" s="55">
        <f t="shared" ca="1" si="42"/>
        <v>0</v>
      </c>
      <c r="M122" s="55">
        <f t="shared" ca="1" si="38"/>
        <v>163.76990899468595</v>
      </c>
      <c r="N122" s="55"/>
      <c r="O122" s="31"/>
      <c r="P122" s="31"/>
      <c r="Q122" s="31"/>
      <c r="R122" s="31"/>
      <c r="S122" s="31"/>
      <c r="T122" s="31"/>
      <c r="U122" s="31"/>
      <c r="V122" s="31"/>
      <c r="W122" s="31"/>
      <c r="X122" s="77"/>
      <c r="Y122" s="31"/>
      <c r="Z122" s="31"/>
      <c r="AA122" s="77"/>
      <c r="AB122" s="31"/>
      <c r="AC122" s="31"/>
      <c r="AD122" s="31"/>
      <c r="AE122" s="31"/>
      <c r="AF122" s="31"/>
      <c r="AG122" s="46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</row>
    <row r="123" spans="1:91" x14ac:dyDescent="0.2">
      <c r="A123" s="31"/>
      <c r="B123" s="70">
        <v>104</v>
      </c>
      <c r="C123" s="51">
        <v>8</v>
      </c>
      <c r="D123" s="55">
        <v>6</v>
      </c>
      <c r="E123" s="37">
        <v>6</v>
      </c>
      <c r="F123" s="37">
        <f t="shared" si="39"/>
        <v>1</v>
      </c>
      <c r="G123" s="37" cm="1">
        <f t="array" ref="G123">IF(E123&lt;=INDEX($B$4:$B$17,C123),1,0)</f>
        <v>0</v>
      </c>
      <c r="H123" s="120">
        <f t="shared" ca="1" si="41"/>
        <v>0</v>
      </c>
      <c r="I123" s="38">
        <f>IF(AND(sat_working=TRUE,E123=6),ROUNDDOWN(AVERAGE('Data for 2021'!I117:I121,'Data for 2021'!I124:I128),0),'Data for 2021'!I122)</f>
        <v>149</v>
      </c>
      <c r="J123" s="80">
        <f t="shared" ca="1" si="37"/>
        <v>472.76154374061207</v>
      </c>
      <c r="K123" s="80">
        <f t="shared" ca="1" si="40"/>
        <v>621.76154374061207</v>
      </c>
      <c r="L123" s="55">
        <f t="shared" ca="1" si="42"/>
        <v>0</v>
      </c>
      <c r="M123" s="55">
        <f t="shared" ca="1" si="38"/>
        <v>166.84278695307466</v>
      </c>
      <c r="N123" s="55"/>
      <c r="O123" s="31"/>
      <c r="P123" s="31"/>
      <c r="Q123" s="31"/>
      <c r="R123" s="31"/>
      <c r="S123" s="31"/>
      <c r="T123" s="31"/>
      <c r="U123" s="31"/>
      <c r="V123" s="31"/>
      <c r="W123" s="31"/>
      <c r="X123" s="77"/>
      <c r="Y123" s="31"/>
      <c r="Z123" s="31"/>
      <c r="AA123" s="77"/>
      <c r="AB123" s="31"/>
      <c r="AC123" s="31"/>
      <c r="AD123" s="31"/>
      <c r="AE123" s="31"/>
      <c r="AF123" s="31"/>
      <c r="AG123" s="46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</row>
    <row r="124" spans="1:91" x14ac:dyDescent="0.2">
      <c r="A124" s="31"/>
      <c r="B124" s="67">
        <v>105</v>
      </c>
      <c r="C124" s="51">
        <v>8</v>
      </c>
      <c r="D124" s="55">
        <v>7</v>
      </c>
      <c r="E124" s="37">
        <v>7</v>
      </c>
      <c r="F124" s="37">
        <f t="shared" si="39"/>
        <v>0</v>
      </c>
      <c r="G124" s="37" cm="1">
        <f t="array" ref="G124">IF(E124&lt;=INDEX($B$4:$B$17,C124),1,0)</f>
        <v>0</v>
      </c>
      <c r="H124" s="120">
        <f t="shared" ca="1" si="41"/>
        <v>0</v>
      </c>
      <c r="I124" s="38">
        <f>IF(AND(sat_working=TRUE,E124=6),ROUNDDOWN(AVERAGE('Data for 2021'!I118:I122),0),'Data for 2021'!I123)</f>
        <v>0</v>
      </c>
      <c r="J124" s="80">
        <f t="shared" ca="1" si="37"/>
        <v>621.76154374061207</v>
      </c>
      <c r="K124" s="80">
        <f t="shared" ca="1" si="40"/>
        <v>621.76154374061207</v>
      </c>
      <c r="L124" s="55">
        <f t="shared" ca="1" si="42"/>
        <v>0</v>
      </c>
      <c r="M124" s="55" t="str">
        <f t="shared" ca="1" si="38"/>
        <v/>
      </c>
      <c r="N124" s="55"/>
      <c r="O124" s="31"/>
      <c r="P124" s="31"/>
      <c r="Q124" s="31"/>
      <c r="R124" s="31"/>
      <c r="S124" s="31"/>
      <c r="T124" s="31"/>
      <c r="U124" s="31"/>
      <c r="V124" s="31"/>
      <c r="W124" s="31"/>
      <c r="X124" s="77"/>
      <c r="Y124" s="31"/>
      <c r="Z124" s="31"/>
      <c r="AA124" s="77"/>
      <c r="AB124" s="31"/>
      <c r="AC124" s="31"/>
      <c r="AD124" s="31"/>
      <c r="AE124" s="31"/>
      <c r="AF124" s="31"/>
      <c r="AG124" s="46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</row>
    <row r="125" spans="1:91" x14ac:dyDescent="0.2">
      <c r="A125" s="31"/>
      <c r="B125" s="70">
        <v>106</v>
      </c>
      <c r="C125" s="51">
        <v>8</v>
      </c>
      <c r="D125" s="55">
        <v>8</v>
      </c>
      <c r="E125" s="35">
        <v>1</v>
      </c>
      <c r="F125" s="35">
        <f t="shared" si="39"/>
        <v>1</v>
      </c>
      <c r="G125" s="37" cm="1">
        <f t="array" ref="G125">IF(E125&lt;=INDEX($B$4:$B$17,C125),1,0)</f>
        <v>1</v>
      </c>
      <c r="H125" s="120">
        <f t="shared" ca="1" si="41"/>
        <v>153.82575453582655</v>
      </c>
      <c r="I125" s="38">
        <f>IF(AND(sat_working=TRUE,E125=6),ROUNDDOWN(AVERAGE('Data for 2021'!I119:I123),0),'Data for 2021'!I124)</f>
        <v>31</v>
      </c>
      <c r="J125" s="80">
        <f t="shared" ca="1" si="37"/>
        <v>621.76154374061207</v>
      </c>
      <c r="K125" s="80">
        <f t="shared" ca="1" si="40"/>
        <v>498.93578920478552</v>
      </c>
      <c r="L125" s="55">
        <f t="shared" ca="1" si="42"/>
        <v>0</v>
      </c>
      <c r="M125" s="55" t="str">
        <f t="shared" ca="1" si="38"/>
        <v/>
      </c>
      <c r="N125" s="55"/>
      <c r="O125" s="31"/>
      <c r="P125" s="31"/>
      <c r="Q125" s="31"/>
      <c r="R125" s="31"/>
      <c r="S125" s="31"/>
      <c r="T125" s="31"/>
      <c r="U125" s="31"/>
      <c r="V125" s="31"/>
      <c r="W125" s="31"/>
      <c r="X125" s="77"/>
      <c r="Y125" s="31"/>
      <c r="Z125" s="31"/>
      <c r="AA125" s="77"/>
      <c r="AB125" s="31"/>
      <c r="AC125" s="31"/>
      <c r="AD125" s="31"/>
      <c r="AE125" s="31"/>
      <c r="AF125" s="31"/>
      <c r="AG125" s="46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</row>
    <row r="126" spans="1:91" x14ac:dyDescent="0.2">
      <c r="A126" s="31"/>
      <c r="B126" s="67">
        <v>107</v>
      </c>
      <c r="C126" s="51">
        <v>8</v>
      </c>
      <c r="D126" s="55">
        <v>9</v>
      </c>
      <c r="E126" s="37">
        <v>2</v>
      </c>
      <c r="F126" s="37">
        <f t="shared" si="39"/>
        <v>1</v>
      </c>
      <c r="G126" s="37" cm="1">
        <f t="array" ref="G126">IF(E126&lt;=INDEX($B$4:$B$17,C126),1,0)</f>
        <v>1</v>
      </c>
      <c r="H126" s="120">
        <f t="shared" ca="1" si="41"/>
        <v>184.00467832498393</v>
      </c>
      <c r="I126" s="38">
        <f>IF(AND(sat_working=TRUE,E126=6),ROUNDDOWN(AVERAGE('Data for 2021'!I120:I124),0),'Data for 2021'!I125)</f>
        <v>209</v>
      </c>
      <c r="J126" s="80">
        <f t="shared" ca="1" si="37"/>
        <v>498.93578920478552</v>
      </c>
      <c r="K126" s="80">
        <f t="shared" ca="1" si="40"/>
        <v>523.93111087980162</v>
      </c>
      <c r="L126" s="55">
        <f t="shared" ca="1" si="42"/>
        <v>0</v>
      </c>
      <c r="M126" s="55">
        <f t="shared" ca="1" si="38"/>
        <v>153.82575453582655</v>
      </c>
      <c r="N126" s="55"/>
      <c r="O126" s="31"/>
      <c r="P126" s="31"/>
      <c r="Q126" s="31"/>
      <c r="R126" s="31"/>
      <c r="S126" s="31"/>
      <c r="T126" s="31"/>
      <c r="U126" s="31"/>
      <c r="V126" s="31"/>
      <c r="W126" s="31"/>
      <c r="X126" s="77"/>
      <c r="Y126" s="31"/>
      <c r="Z126" s="31"/>
      <c r="AA126" s="77"/>
      <c r="AB126" s="31"/>
      <c r="AC126" s="31"/>
      <c r="AD126" s="31"/>
      <c r="AE126" s="31"/>
      <c r="AF126" s="31"/>
      <c r="AG126" s="46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</row>
    <row r="127" spans="1:91" x14ac:dyDescent="0.2">
      <c r="A127" s="31"/>
      <c r="B127" s="70">
        <v>108</v>
      </c>
      <c r="C127" s="51">
        <v>8</v>
      </c>
      <c r="D127" s="55">
        <v>10</v>
      </c>
      <c r="E127" s="37">
        <v>3</v>
      </c>
      <c r="F127" s="37">
        <f t="shared" si="39"/>
        <v>1</v>
      </c>
      <c r="G127" s="37" cm="1">
        <f t="array" ref="G127">IF(E127&lt;=INDEX($B$4:$B$17,C127),1,0)</f>
        <v>1</v>
      </c>
      <c r="H127" s="120">
        <f t="shared" ca="1" si="41"/>
        <v>172.08549345272851</v>
      </c>
      <c r="I127" s="38">
        <f>IF(AND(sat_working=TRUE,E127=6),ROUNDDOWN(AVERAGE('Data for 2021'!I121:I125),0),'Data for 2021'!I126)</f>
        <v>191</v>
      </c>
      <c r="J127" s="80">
        <f t="shared" ca="1" si="37"/>
        <v>523.93111087980162</v>
      </c>
      <c r="K127" s="80">
        <f t="shared" ca="1" si="40"/>
        <v>542.84561742707308</v>
      </c>
      <c r="L127" s="55">
        <f t="shared" ca="1" si="42"/>
        <v>0</v>
      </c>
      <c r="M127" s="55">
        <f t="shared" ca="1" si="38"/>
        <v>184.00467832498393</v>
      </c>
      <c r="N127" s="55"/>
      <c r="O127" s="31"/>
      <c r="P127" s="31"/>
      <c r="Q127" s="31"/>
      <c r="R127" s="31"/>
      <c r="S127" s="31"/>
      <c r="T127" s="31"/>
      <c r="U127" s="31"/>
      <c r="V127" s="31"/>
      <c r="W127" s="31"/>
      <c r="X127" s="77"/>
      <c r="Y127" s="31"/>
      <c r="Z127" s="31"/>
      <c r="AA127" s="77"/>
      <c r="AB127" s="31"/>
      <c r="AC127" s="31"/>
      <c r="AD127" s="31"/>
      <c r="AE127" s="31"/>
      <c r="AF127" s="31"/>
      <c r="AG127" s="46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</row>
    <row r="128" spans="1:91" x14ac:dyDescent="0.2">
      <c r="A128" s="31"/>
      <c r="B128" s="67">
        <v>109</v>
      </c>
      <c r="C128" s="51">
        <v>8</v>
      </c>
      <c r="D128" s="55">
        <v>11</v>
      </c>
      <c r="E128" s="37">
        <v>4</v>
      </c>
      <c r="F128" s="37">
        <f t="shared" si="39"/>
        <v>1</v>
      </c>
      <c r="G128" s="37" cm="1">
        <f t="array" ref="G128">IF(E128&lt;=INDEX($B$4:$B$17,C128),1,0)</f>
        <v>1</v>
      </c>
      <c r="H128" s="120">
        <f t="shared" ca="1" si="41"/>
        <v>127.75591296314606</v>
      </c>
      <c r="I128" s="38">
        <f>IF(AND(sat_working=TRUE,E128=6),ROUNDDOWN(AVERAGE('Data for 2021'!I122:I126),0),'Data for 2021'!I127)</f>
        <v>140</v>
      </c>
      <c r="J128" s="80">
        <f t="shared" ca="1" si="37"/>
        <v>542.84561742707308</v>
      </c>
      <c r="K128" s="80">
        <f t="shared" ca="1" si="40"/>
        <v>555.08970446392698</v>
      </c>
      <c r="L128" s="55">
        <f t="shared" ca="1" si="42"/>
        <v>0</v>
      </c>
      <c r="M128" s="55">
        <f t="shared" ca="1" si="38"/>
        <v>172.08549345272851</v>
      </c>
      <c r="N128" s="55"/>
      <c r="O128" s="31"/>
      <c r="P128" s="31"/>
      <c r="Q128" s="31"/>
      <c r="R128" s="31"/>
      <c r="S128" s="31"/>
      <c r="T128" s="31"/>
      <c r="U128" s="31"/>
      <c r="V128" s="31"/>
      <c r="W128" s="31"/>
      <c r="X128" s="77"/>
      <c r="Y128" s="31"/>
      <c r="Z128" s="31"/>
      <c r="AA128" s="77"/>
      <c r="AB128" s="31"/>
      <c r="AC128" s="31"/>
      <c r="AD128" s="31"/>
      <c r="AE128" s="31"/>
      <c r="AF128" s="31"/>
      <c r="AG128" s="46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</row>
    <row r="129" spans="1:91" x14ac:dyDescent="0.2">
      <c r="A129" s="31"/>
      <c r="B129" s="70">
        <v>110</v>
      </c>
      <c r="C129" s="51">
        <v>8</v>
      </c>
      <c r="D129" s="55">
        <v>12</v>
      </c>
      <c r="E129" s="37">
        <v>5</v>
      </c>
      <c r="F129" s="37">
        <f t="shared" si="39"/>
        <v>1</v>
      </c>
      <c r="G129" s="37" cm="1">
        <f t="array" ref="G129">IF(E129&lt;=INDEX($B$4:$B$17,C129),1,0)</f>
        <v>1</v>
      </c>
      <c r="H129" s="120">
        <f t="shared" ca="1" si="41"/>
        <v>195.56651206616078</v>
      </c>
      <c r="I129" s="38">
        <f>IF(AND(sat_working=TRUE,E129=6),ROUNDDOWN(AVERAGE('Data for 2021'!I123:I127),0),'Data for 2021'!I128)</f>
        <v>116</v>
      </c>
      <c r="J129" s="80">
        <f t="shared" ca="1" si="37"/>
        <v>555.08970446392698</v>
      </c>
      <c r="K129" s="80">
        <f t="shared" ca="1" si="40"/>
        <v>475.52319239776619</v>
      </c>
      <c r="L129" s="55">
        <f t="shared" ca="1" si="42"/>
        <v>0</v>
      </c>
      <c r="M129" s="55">
        <f t="shared" ca="1" si="38"/>
        <v>127.75591296314606</v>
      </c>
      <c r="N129" s="55"/>
      <c r="O129" s="31"/>
      <c r="P129" s="31"/>
      <c r="Q129" s="31"/>
      <c r="R129" s="31"/>
      <c r="S129" s="31"/>
      <c r="T129" s="31"/>
      <c r="U129" s="31"/>
      <c r="V129" s="31"/>
      <c r="W129" s="31"/>
      <c r="X129" s="77"/>
      <c r="Y129" s="31"/>
      <c r="Z129" s="31"/>
      <c r="AA129" s="77"/>
      <c r="AB129" s="31"/>
      <c r="AC129" s="31"/>
      <c r="AD129" s="31"/>
      <c r="AE129" s="31"/>
      <c r="AF129" s="31"/>
      <c r="AG129" s="46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</row>
    <row r="130" spans="1:91" x14ac:dyDescent="0.2">
      <c r="A130" s="31"/>
      <c r="B130" s="67">
        <v>111</v>
      </c>
      <c r="C130" s="51">
        <v>8</v>
      </c>
      <c r="D130" s="55">
        <v>13</v>
      </c>
      <c r="E130" s="37">
        <v>6</v>
      </c>
      <c r="F130" s="37">
        <f t="shared" si="39"/>
        <v>1</v>
      </c>
      <c r="G130" s="37" cm="1">
        <f t="array" ref="G130">IF(E130&lt;=INDEX($B$4:$B$17,C130),1,0)</f>
        <v>0</v>
      </c>
      <c r="H130" s="120">
        <f t="shared" ca="1" si="41"/>
        <v>0</v>
      </c>
      <c r="I130" s="38">
        <f>I123</f>
        <v>149</v>
      </c>
      <c r="J130" s="80">
        <f t="shared" ca="1" si="37"/>
        <v>475.52319239776619</v>
      </c>
      <c r="K130" s="80">
        <f t="shared" ca="1" si="40"/>
        <v>624.52319239776625</v>
      </c>
      <c r="L130" s="55">
        <f t="shared" ca="1" si="42"/>
        <v>0</v>
      </c>
      <c r="M130" s="55">
        <f t="shared" ca="1" si="38"/>
        <v>195.56651206616078</v>
      </c>
      <c r="N130" s="55"/>
      <c r="O130" s="31"/>
      <c r="P130" s="31"/>
      <c r="Q130" s="31"/>
      <c r="R130" s="31"/>
      <c r="S130" s="31"/>
      <c r="T130" s="31"/>
      <c r="U130" s="31"/>
      <c r="V130" s="31"/>
      <c r="W130" s="31"/>
      <c r="X130" s="77"/>
      <c r="Y130" s="31"/>
      <c r="Z130" s="31"/>
      <c r="AA130" s="77"/>
      <c r="AB130" s="31"/>
      <c r="AC130" s="31"/>
      <c r="AD130" s="31"/>
      <c r="AE130" s="31"/>
      <c r="AF130" s="31"/>
      <c r="AG130" s="46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</row>
    <row r="131" spans="1:91" x14ac:dyDescent="0.2">
      <c r="A131" s="31"/>
      <c r="B131" s="70">
        <v>112</v>
      </c>
      <c r="C131" s="52">
        <v>8</v>
      </c>
      <c r="D131" s="57">
        <v>14</v>
      </c>
      <c r="E131" s="37">
        <v>7</v>
      </c>
      <c r="F131" s="37">
        <f t="shared" si="39"/>
        <v>0</v>
      </c>
      <c r="G131" s="37" cm="1">
        <f t="array" ref="G131">IF(E131&lt;=INDEX($B$4:$B$17,C131),1,0)</f>
        <v>0</v>
      </c>
      <c r="H131" s="120">
        <f t="shared" ca="1" si="41"/>
        <v>0</v>
      </c>
      <c r="I131" s="38">
        <f>IF(AND(sat_working=TRUE,E131=6),ROUNDDOWN(AVERAGE('Data for 2021'!I125:I129),0),'Data for 2021'!I130)</f>
        <v>0</v>
      </c>
      <c r="J131" s="80">
        <f t="shared" ca="1" si="37"/>
        <v>624.52319239776625</v>
      </c>
      <c r="K131" s="80">
        <f t="shared" ca="1" si="40"/>
        <v>624.52319239776625</v>
      </c>
      <c r="L131" s="55">
        <f t="shared" ca="1" si="42"/>
        <v>0</v>
      </c>
      <c r="M131" s="55" t="str">
        <f t="shared" ca="1" si="38"/>
        <v/>
      </c>
      <c r="N131" s="55"/>
      <c r="O131" s="31"/>
      <c r="P131" s="31"/>
      <c r="Q131" s="31"/>
      <c r="R131" s="31"/>
      <c r="S131" s="31"/>
      <c r="T131" s="31"/>
      <c r="U131" s="31"/>
      <c r="V131" s="31"/>
      <c r="W131" s="31"/>
      <c r="X131" s="77"/>
      <c r="Y131" s="31"/>
      <c r="Z131" s="31"/>
      <c r="AA131" s="77"/>
      <c r="AB131" s="31"/>
      <c r="AC131" s="31"/>
      <c r="AD131" s="31"/>
      <c r="AE131" s="31"/>
      <c r="AF131" s="31"/>
      <c r="AG131" s="46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</row>
    <row r="132" spans="1:91" x14ac:dyDescent="0.2">
      <c r="A132" s="31" t="s">
        <v>92</v>
      </c>
      <c r="B132" s="67">
        <v>113</v>
      </c>
      <c r="C132" s="50">
        <v>9</v>
      </c>
      <c r="D132" s="53">
        <v>1</v>
      </c>
      <c r="E132" s="35">
        <v>1</v>
      </c>
      <c r="F132" s="35">
        <f t="shared" si="39"/>
        <v>1</v>
      </c>
      <c r="G132" s="35" cm="1">
        <f t="array" ref="G132">IF(E132&lt;=INDEX($B$4:$B$17,C132),1,0)</f>
        <v>1</v>
      </c>
      <c r="H132" s="120">
        <f t="shared" ca="1" si="41"/>
        <v>174.93655722144564</v>
      </c>
      <c r="I132" s="38">
        <f>IF(AND(sat_working=TRUE,E132=6),ROUNDDOWN(AVERAGE('Data for 2021'!I126:I130),0),'Data for 2021'!I131)</f>
        <v>128</v>
      </c>
      <c r="J132" s="80">
        <f t="shared" ca="1" si="37"/>
        <v>624.52319239776625</v>
      </c>
      <c r="K132" s="80">
        <f t="shared" ca="1" si="40"/>
        <v>577.58663517632067</v>
      </c>
      <c r="L132" s="55">
        <f t="shared" ca="1" si="42"/>
        <v>0</v>
      </c>
      <c r="M132" s="55" t="str">
        <f t="shared" ca="1" si="38"/>
        <v/>
      </c>
      <c r="N132" s="55"/>
      <c r="O132" s="31"/>
      <c r="P132" s="31"/>
      <c r="Q132" s="31"/>
      <c r="R132" s="31"/>
      <c r="S132" s="31"/>
      <c r="T132" s="31"/>
      <c r="U132" s="31"/>
      <c r="V132" s="31"/>
      <c r="W132" s="31"/>
      <c r="X132" s="77"/>
      <c r="Y132" s="31"/>
      <c r="Z132" s="31"/>
      <c r="AA132" s="77"/>
      <c r="AB132" s="31"/>
      <c r="AC132" s="31"/>
      <c r="AD132" s="31"/>
      <c r="AE132" s="31"/>
      <c r="AF132" s="31"/>
      <c r="AG132" s="46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</row>
    <row r="133" spans="1:91" x14ac:dyDescent="0.2">
      <c r="A133" s="31"/>
      <c r="B133" s="70">
        <v>114</v>
      </c>
      <c r="C133" s="51">
        <v>9</v>
      </c>
      <c r="D133" s="55">
        <v>2</v>
      </c>
      <c r="E133" s="37">
        <v>2</v>
      </c>
      <c r="F133" s="37">
        <f t="shared" si="39"/>
        <v>1</v>
      </c>
      <c r="G133" s="37" cm="1">
        <f t="array" ref="G133">IF(E133&lt;=INDEX($B$4:$B$17,C133),1,0)</f>
        <v>1</v>
      </c>
      <c r="H133" s="120">
        <f t="shared" ca="1" si="41"/>
        <v>177.43998908271297</v>
      </c>
      <c r="I133" s="38">
        <f>IF(AND(sat_working=TRUE,E133=6),ROUNDDOWN(AVERAGE('Data for 2021'!I127:I131),0),'Data for 2021'!I132)</f>
        <v>178</v>
      </c>
      <c r="J133" s="80">
        <f t="shared" ca="1" si="37"/>
        <v>577.58663517632067</v>
      </c>
      <c r="K133" s="80">
        <f t="shared" ca="1" si="40"/>
        <v>578.14664609360773</v>
      </c>
      <c r="L133" s="55">
        <f t="shared" ca="1" si="42"/>
        <v>0</v>
      </c>
      <c r="M133" s="55">
        <f t="shared" ca="1" si="38"/>
        <v>174.93655722144564</v>
      </c>
      <c r="N133" s="55"/>
      <c r="O133" s="31"/>
      <c r="P133" s="31"/>
      <c r="Q133" s="31"/>
      <c r="R133" s="31"/>
      <c r="S133" s="31"/>
      <c r="T133" s="31"/>
      <c r="U133" s="31"/>
      <c r="V133" s="31"/>
      <c r="W133" s="31"/>
      <c r="X133" s="77"/>
      <c r="Y133" s="31"/>
      <c r="Z133" s="31"/>
      <c r="AA133" s="77"/>
      <c r="AB133" s="31"/>
      <c r="AC133" s="31"/>
      <c r="AD133" s="31"/>
      <c r="AE133" s="31"/>
      <c r="AF133" s="31"/>
      <c r="AG133" s="46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</row>
    <row r="134" spans="1:91" x14ac:dyDescent="0.2">
      <c r="A134" s="31"/>
      <c r="B134" s="67">
        <v>115</v>
      </c>
      <c r="C134" s="51">
        <v>9</v>
      </c>
      <c r="D134" s="55">
        <v>3</v>
      </c>
      <c r="E134" s="37">
        <v>3</v>
      </c>
      <c r="F134" s="37">
        <f t="shared" si="39"/>
        <v>1</v>
      </c>
      <c r="G134" s="37" cm="1">
        <f t="array" ref="G134">IF(E134&lt;=INDEX($B$4:$B$17,C134),1,0)</f>
        <v>1</v>
      </c>
      <c r="H134" s="120">
        <f t="shared" ca="1" si="41"/>
        <v>177.33086032921943</v>
      </c>
      <c r="I134" s="38">
        <f>IF(AND(sat_working=TRUE,E134=6),ROUNDDOWN(AVERAGE('Data for 2021'!I128:I132),0),'Data for 2021'!I133)</f>
        <v>172</v>
      </c>
      <c r="J134" s="80">
        <f t="shared" ca="1" si="37"/>
        <v>578.14664609360773</v>
      </c>
      <c r="K134" s="80">
        <f t="shared" ca="1" si="40"/>
        <v>572.81578576438824</v>
      </c>
      <c r="L134" s="55">
        <f t="shared" ca="1" si="42"/>
        <v>0</v>
      </c>
      <c r="M134" s="55">
        <f t="shared" ca="1" si="38"/>
        <v>177.43998908271297</v>
      </c>
      <c r="N134" s="55"/>
      <c r="O134" s="31"/>
      <c r="P134" s="31"/>
      <c r="Q134" s="31"/>
      <c r="R134" s="31"/>
      <c r="S134" s="31"/>
      <c r="T134" s="31"/>
      <c r="U134" s="31"/>
      <c r="V134" s="31"/>
      <c r="W134" s="31"/>
      <c r="X134" s="77"/>
      <c r="Y134" s="31"/>
      <c r="Z134" s="31"/>
      <c r="AA134" s="77"/>
      <c r="AB134" s="31"/>
      <c r="AC134" s="31"/>
      <c r="AD134" s="31"/>
      <c r="AE134" s="31"/>
      <c r="AF134" s="31"/>
      <c r="AG134" s="46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</row>
    <row r="135" spans="1:91" x14ac:dyDescent="0.2">
      <c r="A135" s="31"/>
      <c r="B135" s="70">
        <v>116</v>
      </c>
      <c r="C135" s="51">
        <v>9</v>
      </c>
      <c r="D135" s="55">
        <v>4</v>
      </c>
      <c r="E135" s="37">
        <v>4</v>
      </c>
      <c r="F135" s="37">
        <f t="shared" si="39"/>
        <v>1</v>
      </c>
      <c r="G135" s="37" cm="1">
        <f t="array" ref="G135">IF(E135&lt;=INDEX($B$4:$B$17,C135),1,0)</f>
        <v>1</v>
      </c>
      <c r="H135" s="120">
        <f t="shared" ca="1" si="41"/>
        <v>129.08910071188831</v>
      </c>
      <c r="I135" s="38">
        <f>IF(AND(sat_working=TRUE,E135=6),ROUNDDOWN(AVERAGE('Data for 2021'!I129:I133),0),'Data for 2021'!I134)</f>
        <v>173</v>
      </c>
      <c r="J135" s="80">
        <f t="shared" ca="1" si="37"/>
        <v>572.81578576438824</v>
      </c>
      <c r="K135" s="80">
        <f t="shared" ca="1" si="40"/>
        <v>616.72668505249999</v>
      </c>
      <c r="L135" s="55">
        <f t="shared" ca="1" si="42"/>
        <v>0</v>
      </c>
      <c r="M135" s="55">
        <f t="shared" ca="1" si="38"/>
        <v>177.33086032921943</v>
      </c>
      <c r="N135" s="55"/>
      <c r="O135" s="31"/>
      <c r="P135" s="31"/>
      <c r="Q135" s="31"/>
      <c r="R135" s="31"/>
      <c r="S135" s="31"/>
      <c r="T135" s="31"/>
      <c r="U135" s="31"/>
      <c r="V135" s="31"/>
      <c r="W135" s="31"/>
      <c r="X135" s="77"/>
      <c r="Y135" s="31"/>
      <c r="Z135" s="31"/>
      <c r="AA135" s="77"/>
      <c r="AB135" s="31"/>
      <c r="AC135" s="31"/>
      <c r="AD135" s="31"/>
      <c r="AE135" s="31"/>
      <c r="AF135" s="31"/>
      <c r="AG135" s="46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</row>
    <row r="136" spans="1:91" x14ac:dyDescent="0.2">
      <c r="A136" s="31"/>
      <c r="B136" s="67">
        <v>117</v>
      </c>
      <c r="C136" s="51">
        <v>9</v>
      </c>
      <c r="D136" s="55">
        <v>5</v>
      </c>
      <c r="E136" s="37">
        <v>5</v>
      </c>
      <c r="F136" s="37">
        <f t="shared" si="39"/>
        <v>1</v>
      </c>
      <c r="G136" s="37" cm="1">
        <f t="array" ref="G136">IF(E136&lt;=INDEX($B$4:$B$17,C136),1,0)</f>
        <v>1</v>
      </c>
      <c r="H136" s="120">
        <f t="shared" ca="1" si="41"/>
        <v>166.8249669938366</v>
      </c>
      <c r="I136" s="38">
        <f>IF(AND(sat_working=TRUE,E136=6),ROUNDDOWN(AVERAGE('Data for 2021'!I130:I134),0),'Data for 2021'!I135)</f>
        <v>146</v>
      </c>
      <c r="J136" s="80">
        <f t="shared" ca="1" si="37"/>
        <v>616.72668505249999</v>
      </c>
      <c r="K136" s="80">
        <f t="shared" ca="1" si="40"/>
        <v>595.90171805866339</v>
      </c>
      <c r="L136" s="55">
        <f t="shared" ca="1" si="42"/>
        <v>0</v>
      </c>
      <c r="M136" s="55">
        <f t="shared" ca="1" si="38"/>
        <v>129.08910071188831</v>
      </c>
      <c r="N136" s="55"/>
      <c r="O136" s="31"/>
      <c r="P136" s="31"/>
      <c r="Q136" s="31"/>
      <c r="R136" s="31"/>
      <c r="S136" s="31"/>
      <c r="T136" s="31"/>
      <c r="U136" s="31"/>
      <c r="V136" s="31"/>
      <c r="W136" s="31"/>
      <c r="X136" s="77"/>
      <c r="Y136" s="31"/>
      <c r="Z136" s="31"/>
      <c r="AA136" s="77"/>
      <c r="AB136" s="31"/>
      <c r="AC136" s="31"/>
      <c r="AD136" s="31"/>
      <c r="AE136" s="31"/>
      <c r="AF136" s="31"/>
      <c r="AG136" s="46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</row>
    <row r="137" spans="1:91" x14ac:dyDescent="0.2">
      <c r="A137" s="31"/>
      <c r="B137" s="70">
        <v>118</v>
      </c>
      <c r="C137" s="51">
        <v>9</v>
      </c>
      <c r="D137" s="55">
        <v>6</v>
      </c>
      <c r="E137" s="37">
        <v>6</v>
      </c>
      <c r="F137" s="37">
        <f t="shared" si="39"/>
        <v>1</v>
      </c>
      <c r="G137" s="37" cm="1">
        <f t="array" ref="G137">IF(E137&lt;=INDEX($B$4:$B$17,C137),1,0)</f>
        <v>1</v>
      </c>
      <c r="H137" s="120">
        <f t="shared" ca="1" si="41"/>
        <v>134.41954065019274</v>
      </c>
      <c r="I137" s="38">
        <f>IF(AND(sat_working=TRUE,E137=6),ROUNDDOWN(AVERAGE('Data for 2021'!I131:I135,'Data for 2021'!I138:I142),0),'Data for 2021'!I136)</f>
        <v>157</v>
      </c>
      <c r="J137" s="80">
        <f t="shared" ca="1" si="37"/>
        <v>595.90171805866339</v>
      </c>
      <c r="K137" s="80">
        <f t="shared" ca="1" si="40"/>
        <v>618.48217740847065</v>
      </c>
      <c r="L137" s="55">
        <f t="shared" ca="1" si="42"/>
        <v>0</v>
      </c>
      <c r="M137" s="55">
        <f t="shared" ca="1" si="38"/>
        <v>166.8249669938366</v>
      </c>
      <c r="N137" s="55"/>
      <c r="O137" s="31"/>
      <c r="P137" s="31"/>
      <c r="Q137" s="31"/>
      <c r="R137" s="31"/>
      <c r="S137" s="31"/>
      <c r="T137" s="31"/>
      <c r="U137" s="31"/>
      <c r="V137" s="31"/>
      <c r="W137" s="31"/>
      <c r="X137" s="77"/>
      <c r="Y137" s="31"/>
      <c r="Z137" s="31"/>
      <c r="AA137" s="77"/>
      <c r="AB137" s="31"/>
      <c r="AC137" s="31"/>
      <c r="AD137" s="31"/>
      <c r="AE137" s="31"/>
      <c r="AF137" s="31"/>
      <c r="AG137" s="46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</row>
    <row r="138" spans="1:91" x14ac:dyDescent="0.2">
      <c r="A138" s="31"/>
      <c r="B138" s="67">
        <v>119</v>
      </c>
      <c r="C138" s="51">
        <v>9</v>
      </c>
      <c r="D138" s="55">
        <v>7</v>
      </c>
      <c r="E138" s="37">
        <v>7</v>
      </c>
      <c r="F138" s="37">
        <f t="shared" si="39"/>
        <v>0</v>
      </c>
      <c r="G138" s="37" cm="1">
        <f t="array" ref="G138">IF(E138&lt;=INDEX($B$4:$B$17,C138),1,0)</f>
        <v>0</v>
      </c>
      <c r="H138" s="120">
        <f t="shared" ca="1" si="41"/>
        <v>0</v>
      </c>
      <c r="I138" s="38">
        <f>IF(AND(sat_working=TRUE,E138=6),ROUNDDOWN(AVERAGE('Data for 2021'!I132:I136),0),'Data for 2021'!I137)</f>
        <v>0</v>
      </c>
      <c r="J138" s="80">
        <f t="shared" ca="1" si="37"/>
        <v>618.48217740847065</v>
      </c>
      <c r="K138" s="80">
        <f t="shared" ca="1" si="40"/>
        <v>618.48217740847065</v>
      </c>
      <c r="L138" s="55">
        <f t="shared" ca="1" si="42"/>
        <v>0</v>
      </c>
      <c r="M138" s="55">
        <f t="shared" ca="1" si="38"/>
        <v>134.41954065019274</v>
      </c>
      <c r="N138" s="55"/>
      <c r="O138" s="31"/>
      <c r="P138" s="31"/>
      <c r="Q138" s="31"/>
      <c r="R138" s="31"/>
      <c r="S138" s="31"/>
      <c r="T138" s="31"/>
      <c r="U138" s="31"/>
      <c r="V138" s="31"/>
      <c r="W138" s="31"/>
      <c r="X138" s="77"/>
      <c r="Y138" s="31"/>
      <c r="Z138" s="31"/>
      <c r="AA138" s="77"/>
      <c r="AB138" s="31"/>
      <c r="AC138" s="31"/>
      <c r="AD138" s="31"/>
      <c r="AE138" s="31"/>
      <c r="AF138" s="31"/>
      <c r="AG138" s="46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</row>
    <row r="139" spans="1:91" x14ac:dyDescent="0.2">
      <c r="A139" s="31"/>
      <c r="B139" s="70">
        <v>120</v>
      </c>
      <c r="C139" s="51">
        <v>9</v>
      </c>
      <c r="D139" s="55">
        <v>8</v>
      </c>
      <c r="E139" s="35">
        <v>1</v>
      </c>
      <c r="F139" s="35">
        <f t="shared" si="39"/>
        <v>1</v>
      </c>
      <c r="G139" s="37" cm="1">
        <f t="array" ref="G139">IF(E139&lt;=INDEX($B$4:$B$17,C139),1,0)</f>
        <v>1</v>
      </c>
      <c r="H139" s="120">
        <f t="shared" ca="1" si="41"/>
        <v>165.43216458380772</v>
      </c>
      <c r="I139" s="38">
        <f>IF(AND(sat_working=TRUE,E139=6),ROUNDDOWN(AVERAGE('Data for 2021'!I133:I137),0),'Data for 2021'!I138)</f>
        <v>155</v>
      </c>
      <c r="J139" s="80">
        <f t="shared" ca="1" si="37"/>
        <v>618.48217740847065</v>
      </c>
      <c r="K139" s="80">
        <f t="shared" ca="1" si="40"/>
        <v>608.05001282466287</v>
      </c>
      <c r="L139" s="55">
        <f t="shared" ca="1" si="42"/>
        <v>0</v>
      </c>
      <c r="M139" s="55" t="str">
        <f t="shared" ca="1" si="38"/>
        <v/>
      </c>
      <c r="N139" s="55"/>
      <c r="O139" s="31"/>
      <c r="P139" s="31"/>
      <c r="Q139" s="31"/>
      <c r="R139" s="31"/>
      <c r="S139" s="31"/>
      <c r="T139" s="31"/>
      <c r="U139" s="31"/>
      <c r="V139" s="31"/>
      <c r="W139" s="31"/>
      <c r="X139" s="77"/>
      <c r="Y139" s="31"/>
      <c r="Z139" s="31"/>
      <c r="AA139" s="77"/>
      <c r="AB139" s="31"/>
      <c r="AC139" s="31"/>
      <c r="AD139" s="31"/>
      <c r="AE139" s="31"/>
      <c r="AF139" s="31"/>
      <c r="AG139" s="46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</row>
    <row r="140" spans="1:91" x14ac:dyDescent="0.2">
      <c r="A140" s="31"/>
      <c r="B140" s="67">
        <v>121</v>
      </c>
      <c r="C140" s="51">
        <v>9</v>
      </c>
      <c r="D140" s="55">
        <v>9</v>
      </c>
      <c r="E140" s="37">
        <v>2</v>
      </c>
      <c r="F140" s="37">
        <f t="shared" si="39"/>
        <v>1</v>
      </c>
      <c r="G140" s="37" cm="1">
        <f t="array" ref="G140">IF(E140&lt;=INDEX($B$4:$B$17,C140),1,0)</f>
        <v>1</v>
      </c>
      <c r="H140" s="120">
        <f t="shared" ca="1" si="41"/>
        <v>173.3339403029475</v>
      </c>
      <c r="I140" s="38">
        <f>IF(AND(sat_working=TRUE,E140=6),ROUNDDOWN(AVERAGE('Data for 2021'!I134:I138),0),'Data for 2021'!I139)</f>
        <v>133</v>
      </c>
      <c r="J140" s="80">
        <f t="shared" ca="1" si="37"/>
        <v>608.05001282466287</v>
      </c>
      <c r="K140" s="80">
        <f t="shared" ca="1" si="40"/>
        <v>567.71607252171543</v>
      </c>
      <c r="L140" s="55">
        <f t="shared" ca="1" si="42"/>
        <v>0</v>
      </c>
      <c r="M140" s="55">
        <f t="shared" ca="1" si="38"/>
        <v>165.43216458380772</v>
      </c>
      <c r="N140" s="55"/>
      <c r="O140" s="31"/>
      <c r="P140" s="31"/>
      <c r="Q140" s="31"/>
      <c r="R140" s="31"/>
      <c r="S140" s="31"/>
      <c r="T140" s="31"/>
      <c r="U140" s="31"/>
      <c r="V140" s="31"/>
      <c r="W140" s="31"/>
      <c r="X140" s="77"/>
      <c r="Y140" s="31"/>
      <c r="Z140" s="31"/>
      <c r="AA140" s="77"/>
      <c r="AB140" s="31"/>
      <c r="AC140" s="31"/>
      <c r="AD140" s="31"/>
      <c r="AE140" s="31"/>
      <c r="AF140" s="31"/>
      <c r="AG140" s="46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</row>
    <row r="141" spans="1:91" x14ac:dyDescent="0.2">
      <c r="A141" s="31"/>
      <c r="B141" s="70">
        <v>122</v>
      </c>
      <c r="C141" s="51">
        <v>9</v>
      </c>
      <c r="D141" s="55">
        <v>10</v>
      </c>
      <c r="E141" s="37">
        <v>3</v>
      </c>
      <c r="F141" s="37">
        <f t="shared" si="39"/>
        <v>1</v>
      </c>
      <c r="G141" s="37" cm="1">
        <f t="array" ref="G141">IF(E141&lt;=INDEX($B$4:$B$17,C141),1,0)</f>
        <v>1</v>
      </c>
      <c r="H141" s="120">
        <f t="shared" ca="1" si="41"/>
        <v>189.62621356305868</v>
      </c>
      <c r="I141" s="38">
        <f>IF(AND(sat_working=TRUE,E141=6),ROUNDDOWN(AVERAGE('Data for 2021'!I135:I139),0),'Data for 2021'!I140)</f>
        <v>169</v>
      </c>
      <c r="J141" s="80">
        <f t="shared" ca="1" si="37"/>
        <v>567.71607252171543</v>
      </c>
      <c r="K141" s="80">
        <f t="shared" ca="1" si="40"/>
        <v>547.08985895865681</v>
      </c>
      <c r="L141" s="55">
        <f t="shared" ca="1" si="42"/>
        <v>0</v>
      </c>
      <c r="M141" s="55">
        <f t="shared" ca="1" si="38"/>
        <v>173.3339403029475</v>
      </c>
      <c r="N141" s="55"/>
      <c r="O141" s="31"/>
      <c r="P141" s="31"/>
      <c r="Q141" s="31"/>
      <c r="R141" s="31"/>
      <c r="S141" s="31"/>
      <c r="T141" s="31"/>
      <c r="U141" s="31"/>
      <c r="V141" s="31"/>
      <c r="W141" s="31"/>
      <c r="X141" s="77"/>
      <c r="Y141" s="31"/>
      <c r="Z141" s="31"/>
      <c r="AA141" s="77"/>
      <c r="AB141" s="31"/>
      <c r="AC141" s="31"/>
      <c r="AD141" s="31"/>
      <c r="AE141" s="31"/>
      <c r="AF141" s="31"/>
      <c r="AG141" s="46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</row>
    <row r="142" spans="1:91" x14ac:dyDescent="0.2">
      <c r="A142" s="31"/>
      <c r="B142" s="67">
        <v>123</v>
      </c>
      <c r="C142" s="51">
        <v>9</v>
      </c>
      <c r="D142" s="55">
        <v>11</v>
      </c>
      <c r="E142" s="37">
        <v>4</v>
      </c>
      <c r="F142" s="37">
        <f t="shared" si="39"/>
        <v>1</v>
      </c>
      <c r="G142" s="37" cm="1">
        <f t="array" ref="G142">IF(E142&lt;=INDEX($B$4:$B$17,C142),1,0)</f>
        <v>1</v>
      </c>
      <c r="H142" s="120">
        <f t="shared" ca="1" si="41"/>
        <v>185.6600993366381</v>
      </c>
      <c r="I142" s="38">
        <f>IF(AND(sat_working=TRUE,E142=6),ROUNDDOWN(AVERAGE('Data for 2021'!I136:I140),0),'Data for 2021'!I141)</f>
        <v>133</v>
      </c>
      <c r="J142" s="80">
        <f t="shared" ca="1" si="37"/>
        <v>547.08985895865681</v>
      </c>
      <c r="K142" s="80">
        <f t="shared" ca="1" si="40"/>
        <v>494.42975962201871</v>
      </c>
      <c r="L142" s="55">
        <f t="shared" ca="1" si="42"/>
        <v>0</v>
      </c>
      <c r="M142" s="55">
        <f t="shared" ca="1" si="38"/>
        <v>189.62621356305868</v>
      </c>
      <c r="N142" s="55"/>
      <c r="O142" s="31"/>
      <c r="P142" s="31"/>
      <c r="Q142" s="31"/>
      <c r="R142" s="31"/>
      <c r="S142" s="31"/>
      <c r="T142" s="31"/>
      <c r="U142" s="31"/>
      <c r="V142" s="31"/>
      <c r="W142" s="31"/>
      <c r="X142" s="77"/>
      <c r="Y142" s="31"/>
      <c r="Z142" s="31"/>
      <c r="AA142" s="77"/>
      <c r="AB142" s="31"/>
      <c r="AC142" s="31"/>
      <c r="AD142" s="31"/>
      <c r="AE142" s="31"/>
      <c r="AF142" s="31"/>
      <c r="AG142" s="46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</row>
    <row r="143" spans="1:91" x14ac:dyDescent="0.2">
      <c r="A143" s="31"/>
      <c r="B143" s="70">
        <v>124</v>
      </c>
      <c r="C143" s="51">
        <v>9</v>
      </c>
      <c r="D143" s="55">
        <v>12</v>
      </c>
      <c r="E143" s="37">
        <v>5</v>
      </c>
      <c r="F143" s="37">
        <f t="shared" si="39"/>
        <v>1</v>
      </c>
      <c r="G143" s="37" cm="1">
        <f t="array" ref="G143">IF(E143&lt;=INDEX($B$4:$B$17,C143),1,0)</f>
        <v>1</v>
      </c>
      <c r="H143" s="120">
        <f t="shared" ca="1" si="41"/>
        <v>153.80426551754803</v>
      </c>
      <c r="I143" s="38">
        <f>IF(AND(sat_working=TRUE,E143=6),ROUNDDOWN(AVERAGE('Data for 2021'!I137:I141),0),'Data for 2021'!I142)</f>
        <v>191</v>
      </c>
      <c r="J143" s="80">
        <f t="shared" ca="1" si="37"/>
        <v>494.42975962201871</v>
      </c>
      <c r="K143" s="80">
        <f t="shared" ca="1" si="40"/>
        <v>531.6254941044707</v>
      </c>
      <c r="L143" s="55">
        <f t="shared" ca="1" si="42"/>
        <v>0</v>
      </c>
      <c r="M143" s="55">
        <f t="shared" ca="1" si="38"/>
        <v>185.6600993366381</v>
      </c>
      <c r="N143" s="55"/>
      <c r="O143" s="31"/>
      <c r="P143" s="31"/>
      <c r="Q143" s="31"/>
      <c r="R143" s="31"/>
      <c r="S143" s="31"/>
      <c r="T143" s="31"/>
      <c r="U143" s="31"/>
      <c r="V143" s="31"/>
      <c r="W143" s="31"/>
      <c r="X143" s="77"/>
      <c r="Y143" s="31"/>
      <c r="Z143" s="31"/>
      <c r="AA143" s="77"/>
      <c r="AB143" s="31"/>
      <c r="AC143" s="31"/>
      <c r="AD143" s="31"/>
      <c r="AE143" s="31"/>
      <c r="AF143" s="31"/>
      <c r="AG143" s="46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</row>
    <row r="144" spans="1:91" x14ac:dyDescent="0.2">
      <c r="A144" s="31"/>
      <c r="B144" s="67">
        <v>125</v>
      </c>
      <c r="C144" s="51">
        <v>9</v>
      </c>
      <c r="D144" s="55">
        <v>13</v>
      </c>
      <c r="E144" s="37">
        <v>6</v>
      </c>
      <c r="F144" s="37">
        <f t="shared" si="39"/>
        <v>1</v>
      </c>
      <c r="G144" s="37" cm="1">
        <f t="array" ref="G144">IF(E144&lt;=INDEX($B$4:$B$17,C144),1,0)</f>
        <v>1</v>
      </c>
      <c r="H144" s="120">
        <f t="shared" ca="1" si="41"/>
        <v>119.83745358117405</v>
      </c>
      <c r="I144" s="38">
        <f>I137</f>
        <v>157</v>
      </c>
      <c r="J144" s="80">
        <f t="shared" ca="1" si="37"/>
        <v>531.6254941044707</v>
      </c>
      <c r="K144" s="80">
        <f t="shared" ca="1" si="40"/>
        <v>568.78804052329667</v>
      </c>
      <c r="L144" s="55">
        <f t="shared" ca="1" si="42"/>
        <v>0</v>
      </c>
      <c r="M144" s="55">
        <f t="shared" ca="1" si="38"/>
        <v>153.80426551754803</v>
      </c>
      <c r="N144" s="55"/>
      <c r="O144" s="31"/>
      <c r="P144" s="31"/>
      <c r="Q144" s="31"/>
      <c r="R144" s="31"/>
      <c r="S144" s="31"/>
      <c r="T144" s="31"/>
      <c r="U144" s="31"/>
      <c r="V144" s="31"/>
      <c r="W144" s="31"/>
      <c r="X144" s="77"/>
      <c r="Y144" s="31"/>
      <c r="Z144" s="31"/>
      <c r="AA144" s="77"/>
      <c r="AB144" s="31"/>
      <c r="AC144" s="31"/>
      <c r="AD144" s="31"/>
      <c r="AE144" s="31"/>
      <c r="AF144" s="31"/>
      <c r="AG144" s="46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</row>
    <row r="145" spans="1:91" x14ac:dyDescent="0.2">
      <c r="A145" s="31"/>
      <c r="B145" s="70">
        <v>126</v>
      </c>
      <c r="C145" s="52">
        <v>9</v>
      </c>
      <c r="D145" s="57">
        <v>14</v>
      </c>
      <c r="E145" s="37">
        <v>7</v>
      </c>
      <c r="F145" s="37">
        <f t="shared" si="39"/>
        <v>0</v>
      </c>
      <c r="G145" s="37" cm="1">
        <f t="array" ref="G145">IF(E145&lt;=INDEX($B$4:$B$17,C145),1,0)</f>
        <v>0</v>
      </c>
      <c r="H145" s="120">
        <f t="shared" ca="1" si="41"/>
        <v>0</v>
      </c>
      <c r="I145" s="38">
        <f>IF(AND(sat_working=TRUE,E145=6),ROUNDDOWN(AVERAGE('Data for 2021'!I139:I143),0),'Data for 2021'!I144)</f>
        <v>0</v>
      </c>
      <c r="J145" s="80">
        <f t="shared" ca="1" si="37"/>
        <v>568.78804052329667</v>
      </c>
      <c r="K145" s="80">
        <f t="shared" ca="1" si="40"/>
        <v>568.78804052329667</v>
      </c>
      <c r="L145" s="55">
        <f t="shared" ca="1" si="42"/>
        <v>0</v>
      </c>
      <c r="M145" s="55">
        <f t="shared" ca="1" si="38"/>
        <v>119.83745358117405</v>
      </c>
      <c r="N145" s="55"/>
      <c r="O145" s="31"/>
      <c r="P145" s="31"/>
      <c r="Q145" s="31"/>
      <c r="R145" s="31"/>
      <c r="S145" s="31"/>
      <c r="T145" s="31"/>
      <c r="U145" s="31"/>
      <c r="V145" s="31"/>
      <c r="W145" s="31"/>
      <c r="X145" s="77"/>
      <c r="Y145" s="31"/>
      <c r="Z145" s="31"/>
      <c r="AA145" s="77"/>
      <c r="AB145" s="31"/>
      <c r="AC145" s="31"/>
      <c r="AD145" s="31"/>
      <c r="AE145" s="31"/>
      <c r="AF145" s="31"/>
      <c r="AG145" s="46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</row>
    <row r="146" spans="1:91" x14ac:dyDescent="0.2">
      <c r="A146" s="31" t="s">
        <v>75</v>
      </c>
      <c r="B146" s="67">
        <v>127</v>
      </c>
      <c r="C146" s="50">
        <v>10</v>
      </c>
      <c r="D146" s="53">
        <v>1</v>
      </c>
      <c r="E146" s="35">
        <v>1</v>
      </c>
      <c r="F146" s="35">
        <f t="shared" si="39"/>
        <v>1</v>
      </c>
      <c r="G146" s="35" cm="1">
        <f t="array" ref="G146">IF(E146&lt;=INDEX($B$4:$B$17,C146),1,0)</f>
        <v>1</v>
      </c>
      <c r="H146" s="120">
        <f t="shared" ca="1" si="41"/>
        <v>163.54542471811234</v>
      </c>
      <c r="I146" s="38">
        <f>IF(AND(sat_working=TRUE,E146=6),ROUNDDOWN(AVERAGE('Data for 2021'!I140:I144),0),'Data for 2021'!I145)</f>
        <v>159</v>
      </c>
      <c r="J146" s="80">
        <f t="shared" ca="1" si="37"/>
        <v>568.78804052329667</v>
      </c>
      <c r="K146" s="80">
        <f t="shared" ca="1" si="40"/>
        <v>564.2426158051843</v>
      </c>
      <c r="L146" s="55">
        <f t="shared" ca="1" si="42"/>
        <v>0</v>
      </c>
      <c r="M146" s="55" t="str">
        <f t="shared" ca="1" si="38"/>
        <v/>
      </c>
      <c r="N146" s="55"/>
      <c r="O146" s="31"/>
      <c r="P146" s="31"/>
      <c r="Q146" s="31"/>
      <c r="R146" s="31"/>
      <c r="S146" s="31"/>
      <c r="T146" s="31"/>
      <c r="U146" s="31"/>
      <c r="V146" s="31"/>
      <c r="W146" s="31"/>
      <c r="X146" s="77"/>
      <c r="Y146" s="31"/>
      <c r="Z146" s="31"/>
      <c r="AA146" s="77"/>
      <c r="AB146" s="31"/>
      <c r="AC146" s="31"/>
      <c r="AD146" s="31"/>
      <c r="AE146" s="31"/>
      <c r="AF146" s="31"/>
      <c r="AG146" s="46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</row>
    <row r="147" spans="1:91" x14ac:dyDescent="0.2">
      <c r="A147" s="31"/>
      <c r="B147" s="70">
        <v>128</v>
      </c>
      <c r="C147" s="51">
        <v>10</v>
      </c>
      <c r="D147" s="55">
        <v>2</v>
      </c>
      <c r="E147" s="37">
        <v>2</v>
      </c>
      <c r="F147" s="37">
        <f t="shared" si="39"/>
        <v>1</v>
      </c>
      <c r="G147" s="37" cm="1">
        <f t="array" ref="G147">IF(E147&lt;=INDEX($B$4:$B$17,C147),1,0)</f>
        <v>1</v>
      </c>
      <c r="H147" s="120">
        <f t="shared" ca="1" si="41"/>
        <v>185.02358990919953</v>
      </c>
      <c r="I147" s="38">
        <f>IF(AND(sat_working=TRUE,E147=6),ROUNDDOWN(AVERAGE('Data for 2021'!I141:I145),0),'Data for 2021'!I146)</f>
        <v>134</v>
      </c>
      <c r="J147" s="80">
        <f t="shared" ca="1" si="37"/>
        <v>564.2426158051843</v>
      </c>
      <c r="K147" s="80">
        <f t="shared" ca="1" si="40"/>
        <v>513.21902589598471</v>
      </c>
      <c r="L147" s="55">
        <f t="shared" ca="1" si="42"/>
        <v>0</v>
      </c>
      <c r="M147" s="55">
        <f t="shared" ca="1" si="38"/>
        <v>163.54542471811234</v>
      </c>
      <c r="N147" s="55"/>
      <c r="O147" s="31"/>
      <c r="P147" s="31"/>
      <c r="Q147" s="31"/>
      <c r="R147" s="31"/>
      <c r="S147" s="31"/>
      <c r="T147" s="31"/>
      <c r="U147" s="31"/>
      <c r="V147" s="31"/>
      <c r="W147" s="31"/>
      <c r="X147" s="77"/>
      <c r="Y147" s="31"/>
      <c r="Z147" s="31"/>
      <c r="AA147" s="77"/>
      <c r="AB147" s="31"/>
      <c r="AC147" s="31"/>
      <c r="AD147" s="31"/>
      <c r="AE147" s="31"/>
      <c r="AF147" s="31"/>
      <c r="AG147" s="46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</row>
    <row r="148" spans="1:91" x14ac:dyDescent="0.2">
      <c r="A148" s="31"/>
      <c r="B148" s="67">
        <v>129</v>
      </c>
      <c r="C148" s="51">
        <v>10</v>
      </c>
      <c r="D148" s="55">
        <v>3</v>
      </c>
      <c r="E148" s="37">
        <v>3</v>
      </c>
      <c r="F148" s="37">
        <f t="shared" ref="F148:F179" si="43">IF(OR(I148&lt;&gt;0,(AND(sat_working=TRUE,E148=6))),1,0)</f>
        <v>1</v>
      </c>
      <c r="G148" s="37" cm="1">
        <f t="array" ref="G148">IF(E148&lt;=INDEX($B$4:$B$17,C148),1,0)</f>
        <v>1</v>
      </c>
      <c r="H148" s="120">
        <f t="shared" ca="1" si="41"/>
        <v>162.30727317865453</v>
      </c>
      <c r="I148" s="38">
        <f>IF(AND(sat_working=TRUE,E148=6),ROUNDDOWN(AVERAGE('Data for 2021'!I142:I146),0),'Data for 2021'!I147)</f>
        <v>23</v>
      </c>
      <c r="J148" s="80">
        <f t="shared" ca="1" si="37"/>
        <v>513.21902589598471</v>
      </c>
      <c r="K148" s="80">
        <f t="shared" ref="K148:K179" ca="1" si="44">J148+I148-H148</f>
        <v>373.91175271733016</v>
      </c>
      <c r="L148" s="55">
        <f t="shared" ca="1" si="42"/>
        <v>0</v>
      </c>
      <c r="M148" s="55">
        <f t="shared" ca="1" si="38"/>
        <v>185.02358990919953</v>
      </c>
      <c r="N148" s="55"/>
      <c r="O148" s="31"/>
      <c r="P148" s="31"/>
      <c r="Q148" s="31"/>
      <c r="R148" s="31"/>
      <c r="S148" s="31"/>
      <c r="T148" s="31"/>
      <c r="U148" s="31"/>
      <c r="V148" s="31"/>
      <c r="W148" s="31"/>
      <c r="X148" s="77"/>
      <c r="Y148" s="31"/>
      <c r="Z148" s="31"/>
      <c r="AA148" s="77"/>
      <c r="AB148" s="31"/>
      <c r="AC148" s="31"/>
      <c r="AD148" s="31"/>
      <c r="AE148" s="31"/>
      <c r="AF148" s="31"/>
      <c r="AG148" s="46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</row>
    <row r="149" spans="1:91" x14ac:dyDescent="0.2">
      <c r="A149" s="31"/>
      <c r="B149" s="70">
        <v>130</v>
      </c>
      <c r="C149" s="51">
        <v>10</v>
      </c>
      <c r="D149" s="55">
        <v>4</v>
      </c>
      <c r="E149" s="37">
        <v>4</v>
      </c>
      <c r="F149" s="37">
        <f t="shared" si="43"/>
        <v>1</v>
      </c>
      <c r="G149" s="37" cm="1">
        <f t="array" ref="G149">IF(E149&lt;=INDEX($B$4:$B$17,C149),1,0)</f>
        <v>1</v>
      </c>
      <c r="H149" s="120">
        <f t="shared" ref="H149:H180" ca="1" si="45">IF(G149=1,IF(cutting_choice=1, MIN(J149,$H$12),MIN(J149,NORMINV(RAND(),$H$13,$H$14))),0)</f>
        <v>169.96325445915679</v>
      </c>
      <c r="I149" s="38">
        <f>IF(AND(sat_working=TRUE,E149=6),ROUNDDOWN(AVERAGE('Data for 2021'!I143:I147),0),'Data for 2021'!I148)</f>
        <v>211</v>
      </c>
      <c r="J149" s="80">
        <f t="shared" ca="1" si="37"/>
        <v>373.91175271733016</v>
      </c>
      <c r="K149" s="80">
        <f t="shared" ca="1" si="44"/>
        <v>414.94849825817334</v>
      </c>
      <c r="L149" s="55">
        <f t="shared" ref="L149:L180" ca="1" si="46">IF(AND(H149=J149,G149),1,0)</f>
        <v>0</v>
      </c>
      <c r="M149" s="55">
        <f t="shared" ca="1" si="38"/>
        <v>162.30727317865453</v>
      </c>
      <c r="N149" s="55"/>
      <c r="O149" s="31"/>
      <c r="P149" s="31"/>
      <c r="Q149" s="31"/>
      <c r="R149" s="31"/>
      <c r="S149" s="31"/>
      <c r="T149" s="31"/>
      <c r="U149" s="31"/>
      <c r="V149" s="31"/>
      <c r="W149" s="31"/>
      <c r="X149" s="77"/>
      <c r="Y149" s="31"/>
      <c r="Z149" s="31"/>
      <c r="AA149" s="77"/>
      <c r="AB149" s="31"/>
      <c r="AC149" s="31"/>
      <c r="AD149" s="31"/>
      <c r="AE149" s="31"/>
      <c r="AF149" s="31"/>
      <c r="AG149" s="46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</row>
    <row r="150" spans="1:91" x14ac:dyDescent="0.2">
      <c r="A150" s="31"/>
      <c r="B150" s="67">
        <v>131</v>
      </c>
      <c r="C150" s="51">
        <v>10</v>
      </c>
      <c r="D150" s="55">
        <v>5</v>
      </c>
      <c r="E150" s="37">
        <v>5</v>
      </c>
      <c r="F150" s="37">
        <f t="shared" si="43"/>
        <v>1</v>
      </c>
      <c r="G150" s="37" cm="1">
        <f t="array" ref="G150">IF(E150&lt;=INDEX($B$4:$B$17,C150),1,0)</f>
        <v>1</v>
      </c>
      <c r="H150" s="120">
        <f t="shared" ca="1" si="45"/>
        <v>116.86177102700478</v>
      </c>
      <c r="I150" s="38">
        <f>IF(AND(sat_working=TRUE,E150=6),ROUNDDOWN(AVERAGE('Data for 2021'!I144:I148),0),'Data for 2021'!I149)</f>
        <v>162</v>
      </c>
      <c r="J150" s="80">
        <f t="shared" ref="J150:J213" ca="1" si="47">K149</f>
        <v>414.94849825817334</v>
      </c>
      <c r="K150" s="80">
        <f t="shared" ca="1" si="44"/>
        <v>460.08672723116854</v>
      </c>
      <c r="L150" s="55">
        <f t="shared" ca="1" si="46"/>
        <v>0</v>
      </c>
      <c r="M150" s="55">
        <f t="shared" ref="M150:M213" ca="1" si="48">IF(OR(G149=0,L149=1),"",H149)</f>
        <v>169.96325445915679</v>
      </c>
      <c r="N150" s="55"/>
      <c r="O150" s="31"/>
      <c r="P150" s="31"/>
      <c r="Q150" s="31"/>
      <c r="R150" s="31"/>
      <c r="S150" s="31"/>
      <c r="T150" s="31"/>
      <c r="U150" s="31"/>
      <c r="V150" s="31"/>
      <c r="W150" s="31"/>
      <c r="X150" s="77"/>
      <c r="Y150" s="31"/>
      <c r="Z150" s="31"/>
      <c r="AA150" s="77"/>
      <c r="AB150" s="31"/>
      <c r="AC150" s="31"/>
      <c r="AD150" s="31"/>
      <c r="AE150" s="31"/>
      <c r="AF150" s="31"/>
      <c r="AG150" s="46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</row>
    <row r="151" spans="1:91" x14ac:dyDescent="0.2">
      <c r="A151" s="31"/>
      <c r="B151" s="70">
        <v>132</v>
      </c>
      <c r="C151" s="51">
        <v>10</v>
      </c>
      <c r="D151" s="55">
        <v>6</v>
      </c>
      <c r="E151" s="37">
        <v>6</v>
      </c>
      <c r="F151" s="37">
        <f t="shared" si="43"/>
        <v>1</v>
      </c>
      <c r="G151" s="37" cm="1">
        <f t="array" ref="G151">IF(E151&lt;=INDEX($B$4:$B$17,C151),1,0)</f>
        <v>0</v>
      </c>
      <c r="H151" s="120">
        <f t="shared" ca="1" si="45"/>
        <v>0</v>
      </c>
      <c r="I151" s="38">
        <f>IF(AND(sat_working=TRUE,E151=6),ROUNDDOWN(AVERAGE('Data for 2021'!I145:I149,'Data for 2021'!I152:I156),0),'Data for 2021'!I150)</f>
        <v>146</v>
      </c>
      <c r="J151" s="80">
        <f t="shared" ca="1" si="47"/>
        <v>460.08672723116854</v>
      </c>
      <c r="K151" s="80">
        <f t="shared" ca="1" si="44"/>
        <v>606.08672723116854</v>
      </c>
      <c r="L151" s="55">
        <f t="shared" ca="1" si="46"/>
        <v>0</v>
      </c>
      <c r="M151" s="55">
        <f t="shared" ca="1" si="48"/>
        <v>116.86177102700478</v>
      </c>
      <c r="N151" s="55"/>
      <c r="O151" s="31"/>
      <c r="P151" s="31"/>
      <c r="Q151" s="31"/>
      <c r="R151" s="31"/>
      <c r="S151" s="31"/>
      <c r="T151" s="31"/>
      <c r="U151" s="31"/>
      <c r="V151" s="31"/>
      <c r="W151" s="31"/>
      <c r="X151" s="77"/>
      <c r="Y151" s="31"/>
      <c r="Z151" s="31"/>
      <c r="AA151" s="77"/>
      <c r="AB151" s="31"/>
      <c r="AC151" s="31"/>
      <c r="AD151" s="31"/>
      <c r="AE151" s="31"/>
      <c r="AF151" s="31"/>
      <c r="AG151" s="46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CA151" s="141"/>
      <c r="CB151" s="141"/>
      <c r="CC151" s="141"/>
      <c r="CD151" s="141"/>
    </row>
    <row r="152" spans="1:91" x14ac:dyDescent="0.2">
      <c r="A152" s="31"/>
      <c r="B152" s="67">
        <v>133</v>
      </c>
      <c r="C152" s="51">
        <v>10</v>
      </c>
      <c r="D152" s="55">
        <v>7</v>
      </c>
      <c r="E152" s="37">
        <v>7</v>
      </c>
      <c r="F152" s="37">
        <f t="shared" si="43"/>
        <v>0</v>
      </c>
      <c r="G152" s="37" cm="1">
        <f t="array" ref="G152">IF(E152&lt;=INDEX($B$4:$B$17,C152),1,0)</f>
        <v>0</v>
      </c>
      <c r="H152" s="120">
        <f t="shared" ca="1" si="45"/>
        <v>0</v>
      </c>
      <c r="I152" s="38">
        <f>IF(AND(sat_working=TRUE,E152=6),ROUNDDOWN(AVERAGE('Data for 2021'!I146:I150),0),'Data for 2021'!I151)</f>
        <v>0</v>
      </c>
      <c r="J152" s="80">
        <f t="shared" ca="1" si="47"/>
        <v>606.08672723116854</v>
      </c>
      <c r="K152" s="80">
        <f t="shared" ca="1" si="44"/>
        <v>606.08672723116854</v>
      </c>
      <c r="L152" s="55">
        <f t="shared" ca="1" si="46"/>
        <v>0</v>
      </c>
      <c r="M152" s="55" t="str">
        <f t="shared" ca="1" si="48"/>
        <v/>
      </c>
      <c r="N152" s="55"/>
      <c r="O152" s="31"/>
      <c r="P152" s="31"/>
      <c r="Q152" s="31"/>
      <c r="R152" s="31"/>
      <c r="S152" s="31"/>
      <c r="T152" s="31"/>
      <c r="U152" s="31"/>
      <c r="V152" s="31"/>
      <c r="W152" s="31"/>
      <c r="X152" s="77"/>
      <c r="Y152" s="31"/>
      <c r="Z152" s="31"/>
      <c r="AA152" s="77"/>
      <c r="AB152" s="31"/>
      <c r="AC152" s="31"/>
      <c r="AD152" s="31"/>
      <c r="AE152" s="31"/>
      <c r="AF152" s="31"/>
      <c r="AG152" s="46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CA152" s="141"/>
      <c r="CB152" s="141"/>
      <c r="CC152" s="141"/>
      <c r="CD152" s="141"/>
    </row>
    <row r="153" spans="1:91" x14ac:dyDescent="0.2">
      <c r="A153" s="31"/>
      <c r="B153" s="70">
        <v>134</v>
      </c>
      <c r="C153" s="51">
        <v>10</v>
      </c>
      <c r="D153" s="55">
        <v>8</v>
      </c>
      <c r="E153" s="35">
        <v>1</v>
      </c>
      <c r="F153" s="35">
        <f t="shared" si="43"/>
        <v>1</v>
      </c>
      <c r="G153" s="37" cm="1">
        <f t="array" ref="G153">IF(E153&lt;=INDEX($B$4:$B$17,C153),1,0)</f>
        <v>1</v>
      </c>
      <c r="H153" s="120">
        <f t="shared" ca="1" si="45"/>
        <v>139.96252159702701</v>
      </c>
      <c r="I153" s="38">
        <f>IF(AND(sat_working=TRUE,E153=6),ROUNDDOWN(AVERAGE('Data for 2021'!I147:I151),0),'Data for 2021'!I152)</f>
        <v>156</v>
      </c>
      <c r="J153" s="80">
        <f t="shared" ca="1" si="47"/>
        <v>606.08672723116854</v>
      </c>
      <c r="K153" s="80">
        <f t="shared" ca="1" si="44"/>
        <v>622.1242056341415</v>
      </c>
      <c r="L153" s="55">
        <f t="shared" ca="1" si="46"/>
        <v>0</v>
      </c>
      <c r="M153" s="55" t="str">
        <f t="shared" ca="1" si="48"/>
        <v/>
      </c>
      <c r="N153" s="55"/>
      <c r="O153" s="31"/>
      <c r="P153" s="31"/>
      <c r="Q153" s="31"/>
      <c r="R153" s="31"/>
      <c r="S153" s="31"/>
      <c r="T153" s="31"/>
      <c r="U153" s="31"/>
      <c r="V153" s="31"/>
      <c r="W153" s="31"/>
      <c r="X153" s="77"/>
      <c r="Y153" s="31"/>
      <c r="Z153" s="31"/>
      <c r="AA153" s="77"/>
      <c r="AB153" s="31"/>
      <c r="AC153" s="31"/>
      <c r="AD153" s="31"/>
      <c r="AE153" s="31"/>
      <c r="AF153" s="31"/>
      <c r="AG153" s="46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CA153" s="141"/>
      <c r="CB153" s="141"/>
      <c r="CC153" s="141"/>
      <c r="CD153" s="141"/>
    </row>
    <row r="154" spans="1:91" x14ac:dyDescent="0.2">
      <c r="A154" s="31"/>
      <c r="B154" s="67">
        <v>135</v>
      </c>
      <c r="C154" s="51">
        <v>10</v>
      </c>
      <c r="D154" s="55">
        <v>9</v>
      </c>
      <c r="E154" s="37">
        <v>2</v>
      </c>
      <c r="F154" s="37">
        <f t="shared" si="43"/>
        <v>1</v>
      </c>
      <c r="G154" s="37" cm="1">
        <f t="array" ref="G154">IF(E154&lt;=INDEX($B$4:$B$17,C154),1,0)</f>
        <v>1</v>
      </c>
      <c r="H154" s="120">
        <f t="shared" ca="1" si="45"/>
        <v>144.8952121775491</v>
      </c>
      <c r="I154" s="38">
        <f>IF(AND(sat_working=TRUE,E154=6),ROUNDDOWN(AVERAGE('Data for 2021'!I148:I152),0),'Data for 2021'!I153)</f>
        <v>181</v>
      </c>
      <c r="J154" s="80">
        <f t="shared" ca="1" si="47"/>
        <v>622.1242056341415</v>
      </c>
      <c r="K154" s="80">
        <f t="shared" ca="1" si="44"/>
        <v>658.22899345659243</v>
      </c>
      <c r="L154" s="55">
        <f t="shared" ca="1" si="46"/>
        <v>0</v>
      </c>
      <c r="M154" s="55">
        <f t="shared" ca="1" si="48"/>
        <v>139.96252159702701</v>
      </c>
      <c r="N154" s="55"/>
      <c r="O154" s="31"/>
      <c r="P154" s="31"/>
      <c r="Q154" s="31"/>
      <c r="R154" s="31"/>
      <c r="S154" s="31"/>
      <c r="T154" s="31"/>
      <c r="U154" s="31"/>
      <c r="V154" s="31"/>
      <c r="W154" s="31"/>
      <c r="X154" s="77"/>
      <c r="Y154" s="31"/>
      <c r="Z154" s="31"/>
      <c r="AA154" s="77"/>
      <c r="AB154" s="31"/>
      <c r="AC154" s="31"/>
      <c r="AD154" s="31"/>
      <c r="AE154" s="31"/>
      <c r="AF154" s="31"/>
      <c r="AG154" s="46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CA154" s="141"/>
      <c r="CB154" s="141"/>
      <c r="CC154" s="141"/>
      <c r="CD154" s="141"/>
    </row>
    <row r="155" spans="1:91" x14ac:dyDescent="0.2">
      <c r="A155" s="31"/>
      <c r="B155" s="70">
        <v>136</v>
      </c>
      <c r="C155" s="51">
        <v>10</v>
      </c>
      <c r="D155" s="55">
        <v>10</v>
      </c>
      <c r="E155" s="37">
        <v>3</v>
      </c>
      <c r="F155" s="37">
        <f t="shared" si="43"/>
        <v>1</v>
      </c>
      <c r="G155" s="37" cm="1">
        <f t="array" ref="G155">IF(E155&lt;=INDEX($B$4:$B$17,C155),1,0)</f>
        <v>1</v>
      </c>
      <c r="H155" s="120">
        <f t="shared" ca="1" si="45"/>
        <v>161.77920530022621</v>
      </c>
      <c r="I155" s="38">
        <f>IF(AND(sat_working=TRUE,E155=6),ROUNDDOWN(AVERAGE('Data for 2021'!I149:I153),0),'Data for 2021'!I154)</f>
        <v>155</v>
      </c>
      <c r="J155" s="80">
        <f t="shared" ca="1" si="47"/>
        <v>658.22899345659243</v>
      </c>
      <c r="K155" s="80">
        <f t="shared" ca="1" si="44"/>
        <v>651.44978815636625</v>
      </c>
      <c r="L155" s="55">
        <f t="shared" ca="1" si="46"/>
        <v>0</v>
      </c>
      <c r="M155" s="55">
        <f t="shared" ca="1" si="48"/>
        <v>144.8952121775491</v>
      </c>
      <c r="N155" s="55"/>
      <c r="O155" s="31"/>
      <c r="P155" s="31"/>
      <c r="Q155" s="31"/>
      <c r="R155" s="31"/>
      <c r="S155" s="31"/>
      <c r="T155" s="31"/>
      <c r="U155" s="31"/>
      <c r="V155" s="31"/>
      <c r="W155" s="31"/>
      <c r="X155" s="77"/>
      <c r="Y155" s="31"/>
      <c r="Z155" s="31"/>
      <c r="AA155" s="77"/>
      <c r="AB155" s="31"/>
      <c r="AC155" s="31"/>
      <c r="AD155" s="31"/>
      <c r="AE155" s="31"/>
      <c r="AF155" s="31"/>
      <c r="AG155" s="46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CA155" s="141"/>
      <c r="CB155" s="141"/>
      <c r="CC155" s="141"/>
      <c r="CD155" s="141"/>
    </row>
    <row r="156" spans="1:91" x14ac:dyDescent="0.2">
      <c r="A156" s="31"/>
      <c r="B156" s="67">
        <v>137</v>
      </c>
      <c r="C156" s="51">
        <v>10</v>
      </c>
      <c r="D156" s="55">
        <v>11</v>
      </c>
      <c r="E156" s="37">
        <v>4</v>
      </c>
      <c r="F156" s="37">
        <f t="shared" si="43"/>
        <v>1</v>
      </c>
      <c r="G156" s="37" cm="1">
        <f t="array" ref="G156">IF(E156&lt;=INDEX($B$4:$B$17,C156),1,0)</f>
        <v>1</v>
      </c>
      <c r="H156" s="120">
        <f t="shared" ca="1" si="45"/>
        <v>162.36303476214567</v>
      </c>
      <c r="I156" s="38">
        <f>IF(AND(sat_working=TRUE,E156=6),ROUNDDOWN(AVERAGE('Data for 2021'!I150:I154),0),'Data for 2021'!I155)</f>
        <v>143</v>
      </c>
      <c r="J156" s="80">
        <f t="shared" ca="1" si="47"/>
        <v>651.44978815636625</v>
      </c>
      <c r="K156" s="80">
        <f t="shared" ca="1" si="44"/>
        <v>632.08675339422052</v>
      </c>
      <c r="L156" s="55">
        <f t="shared" ca="1" si="46"/>
        <v>0</v>
      </c>
      <c r="M156" s="55">
        <f t="shared" ca="1" si="48"/>
        <v>161.77920530022621</v>
      </c>
      <c r="N156" s="55"/>
      <c r="O156" s="31"/>
      <c r="P156" s="31"/>
      <c r="Q156" s="31"/>
      <c r="R156" s="31"/>
      <c r="S156" s="31"/>
      <c r="T156" s="31"/>
      <c r="U156" s="31"/>
      <c r="V156" s="31"/>
      <c r="W156" s="31"/>
      <c r="X156" s="77"/>
      <c r="Y156" s="31"/>
      <c r="Z156" s="31"/>
      <c r="AA156" s="77"/>
      <c r="AB156" s="31"/>
      <c r="AC156" s="31"/>
      <c r="AD156" s="31"/>
      <c r="AE156" s="31"/>
      <c r="AF156" s="31"/>
      <c r="AG156" s="46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CA156" s="141"/>
      <c r="CB156" s="141"/>
      <c r="CC156" s="141"/>
      <c r="CD156" s="141"/>
    </row>
    <row r="157" spans="1:91" x14ac:dyDescent="0.2">
      <c r="A157" s="31"/>
      <c r="B157" s="70">
        <v>138</v>
      </c>
      <c r="C157" s="51">
        <v>10</v>
      </c>
      <c r="D157" s="55">
        <v>12</v>
      </c>
      <c r="E157" s="37">
        <v>5</v>
      </c>
      <c r="F157" s="37">
        <f t="shared" si="43"/>
        <v>1</v>
      </c>
      <c r="G157" s="37" cm="1">
        <f t="array" ref="G157">IF(E157&lt;=INDEX($B$4:$B$17,C157),1,0)</f>
        <v>1</v>
      </c>
      <c r="H157" s="120">
        <f t="shared" ca="1" si="45"/>
        <v>172.89012437869272</v>
      </c>
      <c r="I157" s="38">
        <f>IF(AND(sat_working=TRUE,E157=6),ROUNDDOWN(AVERAGE('Data for 2021'!I151:I155),0),'Data for 2021'!I156)</f>
        <v>141</v>
      </c>
      <c r="J157" s="80">
        <f t="shared" ca="1" si="47"/>
        <v>632.08675339422052</v>
      </c>
      <c r="K157" s="80">
        <f t="shared" ca="1" si="44"/>
        <v>600.19662901552783</v>
      </c>
      <c r="L157" s="55">
        <f t="shared" ca="1" si="46"/>
        <v>0</v>
      </c>
      <c r="M157" s="55">
        <f t="shared" ca="1" si="48"/>
        <v>162.36303476214567</v>
      </c>
      <c r="N157" s="55"/>
      <c r="O157" s="31"/>
      <c r="P157" s="31"/>
      <c r="Q157" s="31"/>
      <c r="R157" s="31"/>
      <c r="S157" s="31"/>
      <c r="T157" s="31"/>
      <c r="U157" s="31"/>
      <c r="V157" s="31"/>
      <c r="W157" s="31"/>
      <c r="X157" s="77"/>
      <c r="Y157" s="31"/>
      <c r="Z157" s="31"/>
      <c r="AA157" s="77"/>
      <c r="AB157" s="31"/>
      <c r="AC157" s="31"/>
      <c r="AD157" s="31"/>
      <c r="AE157" s="31"/>
      <c r="AF157" s="31"/>
      <c r="AG157" s="46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CA157" s="141"/>
      <c r="CB157" s="141"/>
      <c r="CC157" s="141"/>
      <c r="CD157" s="141"/>
    </row>
    <row r="158" spans="1:91" x14ac:dyDescent="0.2">
      <c r="A158" s="31"/>
      <c r="B158" s="67">
        <v>139</v>
      </c>
      <c r="C158" s="51">
        <v>10</v>
      </c>
      <c r="D158" s="55">
        <v>13</v>
      </c>
      <c r="E158" s="37">
        <v>6</v>
      </c>
      <c r="F158" s="37">
        <f t="shared" si="43"/>
        <v>1</v>
      </c>
      <c r="G158" s="37" cm="1">
        <f t="array" ref="G158">IF(E158&lt;=INDEX($B$4:$B$17,C158),1,0)</f>
        <v>0</v>
      </c>
      <c r="H158" s="120">
        <f t="shared" ca="1" si="45"/>
        <v>0</v>
      </c>
      <c r="I158" s="38">
        <f>I151</f>
        <v>146</v>
      </c>
      <c r="J158" s="80">
        <f t="shared" ca="1" si="47"/>
        <v>600.19662901552783</v>
      </c>
      <c r="K158" s="80">
        <f t="shared" ca="1" si="44"/>
        <v>746.19662901552783</v>
      </c>
      <c r="L158" s="55">
        <f t="shared" ca="1" si="46"/>
        <v>0</v>
      </c>
      <c r="M158" s="55">
        <f t="shared" ca="1" si="48"/>
        <v>172.89012437869272</v>
      </c>
      <c r="N158" s="55"/>
      <c r="O158" s="31"/>
      <c r="P158" s="31"/>
      <c r="Q158" s="31"/>
      <c r="R158" s="31"/>
      <c r="S158" s="31"/>
      <c r="T158" s="31"/>
      <c r="U158" s="31"/>
      <c r="V158" s="31"/>
      <c r="W158" s="31"/>
      <c r="X158" s="77"/>
      <c r="Y158" s="31"/>
      <c r="Z158" s="31"/>
      <c r="AA158" s="77"/>
      <c r="AB158" s="31"/>
      <c r="AC158" s="31"/>
      <c r="AD158" s="31"/>
      <c r="AE158" s="31"/>
      <c r="AF158" s="31"/>
      <c r="AG158" s="46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CA158" s="141"/>
      <c r="CB158" s="141"/>
      <c r="CC158" s="141"/>
      <c r="CD158" s="141"/>
    </row>
    <row r="159" spans="1:91" x14ac:dyDescent="0.2">
      <c r="A159" s="31"/>
      <c r="B159" s="70">
        <v>140</v>
      </c>
      <c r="C159" s="52">
        <v>10</v>
      </c>
      <c r="D159" s="57">
        <v>14</v>
      </c>
      <c r="E159" s="37">
        <v>7</v>
      </c>
      <c r="F159" s="37">
        <f t="shared" si="43"/>
        <v>0</v>
      </c>
      <c r="G159" s="37" cm="1">
        <f t="array" ref="G159">IF(E159&lt;=INDEX($B$4:$B$17,C159),1,0)</f>
        <v>0</v>
      </c>
      <c r="H159" s="120">
        <f t="shared" ca="1" si="45"/>
        <v>0</v>
      </c>
      <c r="I159" s="38">
        <f>IF(AND(sat_working=TRUE,E159=6),ROUNDDOWN(AVERAGE('Data for 2021'!I153:I157),0),'Data for 2021'!I158)</f>
        <v>0</v>
      </c>
      <c r="J159" s="80">
        <f t="shared" ca="1" si="47"/>
        <v>746.19662901552783</v>
      </c>
      <c r="K159" s="80">
        <f t="shared" ca="1" si="44"/>
        <v>746.19662901552783</v>
      </c>
      <c r="L159" s="55">
        <f t="shared" ca="1" si="46"/>
        <v>0</v>
      </c>
      <c r="M159" s="55" t="str">
        <f t="shared" ca="1" si="48"/>
        <v/>
      </c>
      <c r="N159" s="55"/>
      <c r="O159" s="31"/>
      <c r="P159" s="31"/>
      <c r="Q159" s="31"/>
      <c r="R159" s="31"/>
      <c r="S159" s="31"/>
      <c r="T159" s="31"/>
      <c r="U159" s="31"/>
      <c r="V159" s="31"/>
      <c r="W159" s="31"/>
      <c r="X159" s="77"/>
      <c r="Y159" s="31"/>
      <c r="Z159" s="31"/>
      <c r="AA159" s="77"/>
      <c r="AB159" s="31"/>
      <c r="AC159" s="31"/>
      <c r="AD159" s="31"/>
      <c r="AE159" s="31"/>
      <c r="AF159" s="31"/>
      <c r="AG159" s="46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CA159" s="141"/>
      <c r="CB159" s="141"/>
      <c r="CC159" s="141"/>
      <c r="CD159" s="141"/>
    </row>
    <row r="160" spans="1:91" x14ac:dyDescent="0.2">
      <c r="A160" s="31" t="s">
        <v>76</v>
      </c>
      <c r="B160" s="67">
        <v>141</v>
      </c>
      <c r="C160" s="50">
        <v>11</v>
      </c>
      <c r="D160" s="53">
        <v>1</v>
      </c>
      <c r="E160" s="35">
        <v>1</v>
      </c>
      <c r="F160" s="35">
        <f t="shared" si="43"/>
        <v>1</v>
      </c>
      <c r="G160" s="35" cm="1">
        <f t="array" ref="G160">IF(E160&lt;=INDEX($B$4:$B$17,C160),1,0)</f>
        <v>1</v>
      </c>
      <c r="H160" s="120">
        <f t="shared" ca="1" si="45"/>
        <v>174.71572853514783</v>
      </c>
      <c r="I160" s="38">
        <f>IF(AND(sat_working=TRUE,E160=6),ROUNDDOWN(AVERAGE('Data for 2021'!I154:I158),0),'Data for 2021'!I159)</f>
        <v>180</v>
      </c>
      <c r="J160" s="80">
        <f t="shared" ca="1" si="47"/>
        <v>746.19662901552783</v>
      </c>
      <c r="K160" s="80">
        <f t="shared" ca="1" si="44"/>
        <v>751.48090048038</v>
      </c>
      <c r="L160" s="55">
        <f t="shared" ca="1" si="46"/>
        <v>0</v>
      </c>
      <c r="M160" s="55" t="str">
        <f t="shared" ca="1" si="48"/>
        <v/>
      </c>
      <c r="N160" s="55"/>
      <c r="O160" s="31"/>
      <c r="P160" s="31"/>
      <c r="Q160" s="31"/>
      <c r="R160" s="31"/>
      <c r="S160" s="31"/>
      <c r="T160" s="31"/>
      <c r="U160" s="31"/>
      <c r="V160" s="31"/>
      <c r="W160" s="31"/>
      <c r="X160" s="77"/>
      <c r="Y160" s="31"/>
      <c r="Z160" s="31"/>
      <c r="AA160" s="77"/>
      <c r="AB160" s="31"/>
      <c r="AC160" s="31"/>
      <c r="AD160" s="31"/>
      <c r="AE160" s="31"/>
      <c r="AF160" s="31"/>
      <c r="AG160" s="46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CA160" s="141"/>
      <c r="CB160" s="141"/>
      <c r="CC160" s="141"/>
      <c r="CD160" s="141"/>
    </row>
    <row r="161" spans="1:82" x14ac:dyDescent="0.2">
      <c r="A161" s="31"/>
      <c r="B161" s="70">
        <v>142</v>
      </c>
      <c r="C161" s="51">
        <v>11</v>
      </c>
      <c r="D161" s="55">
        <v>2</v>
      </c>
      <c r="E161" s="37">
        <v>2</v>
      </c>
      <c r="F161" s="37">
        <f t="shared" si="43"/>
        <v>1</v>
      </c>
      <c r="G161" s="37" cm="1">
        <f t="array" ref="G161">IF(E161&lt;=INDEX($B$4:$B$17,C161),1,0)</f>
        <v>1</v>
      </c>
      <c r="H161" s="120">
        <f t="shared" ca="1" si="45"/>
        <v>152.89985618607201</v>
      </c>
      <c r="I161" s="38">
        <f>IF(AND(sat_working=TRUE,E161=6),ROUNDDOWN(AVERAGE('Data for 2021'!I155:I159),0),'Data for 2021'!I160)</f>
        <v>189</v>
      </c>
      <c r="J161" s="80">
        <f t="shared" ca="1" si="47"/>
        <v>751.48090048038</v>
      </c>
      <c r="K161" s="80">
        <f t="shared" ca="1" si="44"/>
        <v>787.58104429430796</v>
      </c>
      <c r="L161" s="55">
        <f t="shared" ca="1" si="46"/>
        <v>0</v>
      </c>
      <c r="M161" s="55">
        <f t="shared" ca="1" si="48"/>
        <v>174.71572853514783</v>
      </c>
      <c r="N161" s="55"/>
      <c r="O161" s="31"/>
      <c r="P161" s="31"/>
      <c r="Q161" s="31"/>
      <c r="R161" s="31"/>
      <c r="S161" s="31"/>
      <c r="T161" s="31"/>
      <c r="U161" s="31"/>
      <c r="V161" s="31"/>
      <c r="W161" s="31"/>
      <c r="X161" s="77"/>
      <c r="Y161" s="31"/>
      <c r="Z161" s="31"/>
      <c r="AA161" s="77"/>
      <c r="AB161" s="31"/>
      <c r="AC161" s="31"/>
      <c r="AD161" s="31"/>
      <c r="AE161" s="31"/>
      <c r="AF161" s="31"/>
      <c r="AG161" s="46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CA161" s="141"/>
      <c r="CB161" s="141"/>
      <c r="CC161" s="141"/>
      <c r="CD161" s="141"/>
    </row>
    <row r="162" spans="1:82" x14ac:dyDescent="0.2">
      <c r="A162" s="31"/>
      <c r="B162" s="67">
        <v>143</v>
      </c>
      <c r="C162" s="51">
        <v>11</v>
      </c>
      <c r="D162" s="55">
        <v>3</v>
      </c>
      <c r="E162" s="37">
        <v>3</v>
      </c>
      <c r="F162" s="37">
        <f t="shared" si="43"/>
        <v>1</v>
      </c>
      <c r="G162" s="37" cm="1">
        <f t="array" ref="G162">IF(E162&lt;=INDEX($B$4:$B$17,C162),1,0)</f>
        <v>1</v>
      </c>
      <c r="H162" s="120">
        <f t="shared" ca="1" si="45"/>
        <v>138.49653300793057</v>
      </c>
      <c r="I162" s="38">
        <f>IF(AND(sat_working=TRUE,E162=6),ROUNDDOWN(AVERAGE('Data for 2021'!I156:I160),0),'Data for 2021'!I161)</f>
        <v>176</v>
      </c>
      <c r="J162" s="80">
        <f t="shared" ca="1" si="47"/>
        <v>787.58104429430796</v>
      </c>
      <c r="K162" s="80">
        <f t="shared" ca="1" si="44"/>
        <v>825.08451128637739</v>
      </c>
      <c r="L162" s="55">
        <f t="shared" ca="1" si="46"/>
        <v>0</v>
      </c>
      <c r="M162" s="55">
        <f t="shared" ca="1" si="48"/>
        <v>152.89985618607201</v>
      </c>
      <c r="N162" s="55"/>
      <c r="O162" s="31"/>
      <c r="P162" s="31"/>
      <c r="Q162" s="31"/>
      <c r="R162" s="31"/>
      <c r="S162" s="31"/>
      <c r="T162" s="31"/>
      <c r="U162" s="31"/>
      <c r="V162" s="31"/>
      <c r="W162" s="31"/>
      <c r="X162" s="77"/>
      <c r="Y162" s="31"/>
      <c r="Z162" s="31"/>
      <c r="AA162" s="77"/>
      <c r="AB162" s="31"/>
      <c r="AC162" s="31"/>
      <c r="AD162" s="31"/>
      <c r="AE162" s="31"/>
      <c r="AF162" s="31"/>
      <c r="AG162" s="46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CA162" s="141"/>
      <c r="CB162" s="141"/>
      <c r="CC162" s="141"/>
      <c r="CD162" s="141"/>
    </row>
    <row r="163" spans="1:82" x14ac:dyDescent="0.2">
      <c r="A163" s="31"/>
      <c r="B163" s="70">
        <v>144</v>
      </c>
      <c r="C163" s="51">
        <v>11</v>
      </c>
      <c r="D163" s="55">
        <v>4</v>
      </c>
      <c r="E163" s="37">
        <v>4</v>
      </c>
      <c r="F163" s="37">
        <f t="shared" si="43"/>
        <v>1</v>
      </c>
      <c r="G163" s="37" cm="1">
        <f t="array" ref="G163">IF(E163&lt;=INDEX($B$4:$B$17,C163),1,0)</f>
        <v>1</v>
      </c>
      <c r="H163" s="120">
        <f t="shared" ca="1" si="45"/>
        <v>175.49124471074381</v>
      </c>
      <c r="I163" s="38">
        <f>IF(AND(sat_working=TRUE,E163=6),ROUNDDOWN(AVERAGE('Data for 2021'!I157:I161),0),'Data for 2021'!I162)</f>
        <v>153</v>
      </c>
      <c r="J163" s="80">
        <f t="shared" ca="1" si="47"/>
        <v>825.08451128637739</v>
      </c>
      <c r="K163" s="80">
        <f t="shared" ca="1" si="44"/>
        <v>802.59326657563361</v>
      </c>
      <c r="L163" s="55">
        <f t="shared" ca="1" si="46"/>
        <v>0</v>
      </c>
      <c r="M163" s="55">
        <f t="shared" ca="1" si="48"/>
        <v>138.49653300793057</v>
      </c>
      <c r="N163" s="55"/>
      <c r="O163" s="31"/>
      <c r="P163" s="31"/>
      <c r="Q163" s="31"/>
      <c r="R163" s="31"/>
      <c r="S163" s="31"/>
      <c r="T163" s="31"/>
      <c r="U163" s="31"/>
      <c r="V163" s="31"/>
      <c r="W163" s="31"/>
      <c r="X163" s="77"/>
      <c r="Y163" s="31"/>
      <c r="Z163" s="31"/>
      <c r="AA163" s="77"/>
      <c r="AB163" s="31"/>
      <c r="AC163" s="31"/>
      <c r="AD163" s="31"/>
      <c r="AE163" s="31"/>
      <c r="AF163" s="31"/>
      <c r="AG163" s="46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CA163" s="141"/>
      <c r="CB163" s="141"/>
      <c r="CC163" s="141"/>
      <c r="CD163" s="141"/>
    </row>
    <row r="164" spans="1:82" x14ac:dyDescent="0.2">
      <c r="A164" s="31"/>
      <c r="B164" s="67">
        <v>145</v>
      </c>
      <c r="C164" s="51">
        <v>11</v>
      </c>
      <c r="D164" s="55">
        <v>5</v>
      </c>
      <c r="E164" s="37">
        <v>5</v>
      </c>
      <c r="F164" s="37">
        <f t="shared" si="43"/>
        <v>1</v>
      </c>
      <c r="G164" s="37" cm="1">
        <f t="array" ref="G164">IF(E164&lt;=INDEX($B$4:$B$17,C164),1,0)</f>
        <v>1</v>
      </c>
      <c r="H164" s="120">
        <f t="shared" ca="1" si="45"/>
        <v>129.13251272369573</v>
      </c>
      <c r="I164" s="38">
        <f>IF(AND(sat_working=TRUE,E164=6),ROUNDDOWN(AVERAGE('Data for 2021'!I158:I162),0),'Data for 2021'!I163)</f>
        <v>153</v>
      </c>
      <c r="J164" s="80">
        <f t="shared" ca="1" si="47"/>
        <v>802.59326657563361</v>
      </c>
      <c r="K164" s="80">
        <f t="shared" ca="1" si="44"/>
        <v>826.46075385193785</v>
      </c>
      <c r="L164" s="55">
        <f t="shared" ca="1" si="46"/>
        <v>0</v>
      </c>
      <c r="M164" s="55">
        <f t="shared" ca="1" si="48"/>
        <v>175.49124471074381</v>
      </c>
      <c r="N164" s="55"/>
      <c r="O164" s="31"/>
      <c r="P164" s="31"/>
      <c r="Q164" s="31"/>
      <c r="R164" s="31"/>
      <c r="S164" s="31"/>
      <c r="T164" s="31"/>
      <c r="U164" s="31"/>
      <c r="V164" s="31"/>
      <c r="W164" s="31"/>
      <c r="X164" s="77"/>
      <c r="Y164" s="31"/>
      <c r="Z164" s="31"/>
      <c r="AA164" s="77"/>
      <c r="AB164" s="31"/>
      <c r="AC164" s="31"/>
      <c r="AD164" s="31"/>
      <c r="AE164" s="31"/>
      <c r="AF164" s="31"/>
      <c r="AG164" s="46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CA164" s="141"/>
      <c r="CB164" s="141"/>
      <c r="CC164" s="141"/>
      <c r="CD164" s="141"/>
    </row>
    <row r="165" spans="1:82" x14ac:dyDescent="0.2">
      <c r="A165" s="31"/>
      <c r="B165" s="70">
        <v>146</v>
      </c>
      <c r="C165" s="51">
        <v>11</v>
      </c>
      <c r="D165" s="55">
        <v>6</v>
      </c>
      <c r="E165" s="37">
        <v>6</v>
      </c>
      <c r="F165" s="37">
        <f t="shared" si="43"/>
        <v>1</v>
      </c>
      <c r="G165" s="37" cm="1">
        <f t="array" ref="G165">IF(E165&lt;=INDEX($B$4:$B$17,C165),1,0)</f>
        <v>1</v>
      </c>
      <c r="H165" s="120">
        <f t="shared" ca="1" si="45"/>
        <v>151.55831578806152</v>
      </c>
      <c r="I165" s="38">
        <f>IF(AND(sat_working=TRUE,E165=6),ROUNDDOWN(AVERAGE('Data for 2021'!I159:I163,'Data for 2021'!I166:I170),0),'Data for 2021'!I164)</f>
        <v>171</v>
      </c>
      <c r="J165" s="80">
        <f t="shared" ca="1" si="47"/>
        <v>826.46075385193785</v>
      </c>
      <c r="K165" s="80">
        <f t="shared" ca="1" si="44"/>
        <v>845.90243806387639</v>
      </c>
      <c r="L165" s="55">
        <f t="shared" ca="1" si="46"/>
        <v>0</v>
      </c>
      <c r="M165" s="55">
        <f t="shared" ca="1" si="48"/>
        <v>129.13251272369573</v>
      </c>
      <c r="N165" s="55"/>
      <c r="O165" s="31"/>
      <c r="P165" s="31"/>
      <c r="Q165" s="31"/>
      <c r="R165" s="31"/>
      <c r="S165" s="31"/>
      <c r="T165" s="31"/>
      <c r="U165" s="31"/>
      <c r="V165" s="31"/>
      <c r="W165" s="31"/>
      <c r="X165" s="77"/>
      <c r="Y165" s="31"/>
      <c r="Z165" s="31"/>
      <c r="AA165" s="77"/>
      <c r="AB165" s="31"/>
      <c r="AC165" s="31"/>
      <c r="AD165" s="31"/>
      <c r="AE165" s="31"/>
      <c r="AF165" s="31"/>
      <c r="AG165" s="46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CA165" s="141"/>
      <c r="CB165" s="141"/>
      <c r="CC165" s="141"/>
      <c r="CD165" s="141"/>
    </row>
    <row r="166" spans="1:82" x14ac:dyDescent="0.2">
      <c r="A166" s="31"/>
      <c r="B166" s="67">
        <v>147</v>
      </c>
      <c r="C166" s="51">
        <v>11</v>
      </c>
      <c r="D166" s="55">
        <v>7</v>
      </c>
      <c r="E166" s="37">
        <v>7</v>
      </c>
      <c r="F166" s="37">
        <f t="shared" si="43"/>
        <v>0</v>
      </c>
      <c r="G166" s="37" cm="1">
        <f t="array" ref="G166">IF(E166&lt;=INDEX($B$4:$B$17,C166),1,0)</f>
        <v>0</v>
      </c>
      <c r="H166" s="120">
        <f t="shared" ca="1" si="45"/>
        <v>0</v>
      </c>
      <c r="I166" s="38">
        <f>IF(AND(sat_working=TRUE,E166=6),ROUNDDOWN(AVERAGE('Data for 2021'!I160:I164),0),'Data for 2021'!I165)</f>
        <v>0</v>
      </c>
      <c r="J166" s="80">
        <f t="shared" ca="1" si="47"/>
        <v>845.90243806387639</v>
      </c>
      <c r="K166" s="80">
        <f t="shared" ca="1" si="44"/>
        <v>845.90243806387639</v>
      </c>
      <c r="L166" s="55">
        <f t="shared" ca="1" si="46"/>
        <v>0</v>
      </c>
      <c r="M166" s="55">
        <f t="shared" ca="1" si="48"/>
        <v>151.55831578806152</v>
      </c>
      <c r="N166" s="55"/>
      <c r="O166" s="31"/>
      <c r="P166" s="31"/>
      <c r="Q166" s="31"/>
      <c r="R166" s="31"/>
      <c r="S166" s="31"/>
      <c r="T166" s="31"/>
      <c r="U166" s="31"/>
      <c r="V166" s="31"/>
      <c r="W166" s="31"/>
      <c r="X166" s="77"/>
      <c r="Y166" s="31"/>
      <c r="Z166" s="31"/>
      <c r="AA166" s="77"/>
      <c r="AB166" s="31"/>
      <c r="AC166" s="31"/>
      <c r="AD166" s="31"/>
      <c r="AE166" s="31"/>
      <c r="AF166" s="31"/>
      <c r="AG166" s="46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CA166" s="141"/>
      <c r="CB166" s="141"/>
      <c r="CC166" s="141"/>
      <c r="CD166" s="141"/>
    </row>
    <row r="167" spans="1:82" x14ac:dyDescent="0.2">
      <c r="A167" s="31"/>
      <c r="B167" s="70">
        <v>148</v>
      </c>
      <c r="C167" s="51">
        <v>11</v>
      </c>
      <c r="D167" s="55">
        <v>8</v>
      </c>
      <c r="E167" s="35">
        <v>1</v>
      </c>
      <c r="F167" s="35">
        <f t="shared" si="43"/>
        <v>1</v>
      </c>
      <c r="G167" s="37" cm="1">
        <f t="array" ref="G167">IF(E167&lt;=INDEX($B$4:$B$17,C167),1,0)</f>
        <v>1</v>
      </c>
      <c r="H167" s="120">
        <f t="shared" ca="1" si="45"/>
        <v>153.20092561549313</v>
      </c>
      <c r="I167" s="38">
        <f>IF(AND(sat_working=TRUE,E167=6),ROUNDDOWN(AVERAGE('Data for 2021'!I161:I165),0),'Data for 2021'!I166)</f>
        <v>181</v>
      </c>
      <c r="J167" s="80">
        <f t="shared" ca="1" si="47"/>
        <v>845.90243806387639</v>
      </c>
      <c r="K167" s="80">
        <f t="shared" ca="1" si="44"/>
        <v>873.70151244838326</v>
      </c>
      <c r="L167" s="55">
        <f t="shared" ca="1" si="46"/>
        <v>0</v>
      </c>
      <c r="M167" s="55" t="str">
        <f t="shared" ca="1" si="48"/>
        <v/>
      </c>
      <c r="N167" s="55"/>
      <c r="O167" s="31"/>
      <c r="P167" s="31"/>
      <c r="Q167" s="31"/>
      <c r="R167" s="31"/>
      <c r="S167" s="31"/>
      <c r="T167" s="31"/>
      <c r="U167" s="31"/>
      <c r="V167" s="31"/>
      <c r="W167" s="31"/>
      <c r="X167" s="77"/>
      <c r="Y167" s="31"/>
      <c r="Z167" s="31"/>
      <c r="AA167" s="77"/>
      <c r="AB167" s="31"/>
      <c r="AC167" s="31"/>
      <c r="AD167" s="31"/>
      <c r="AE167" s="31"/>
      <c r="AF167" s="31"/>
      <c r="AG167" s="46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CA167" s="141"/>
      <c r="CB167" s="141"/>
      <c r="CC167" s="141"/>
      <c r="CD167" s="141"/>
    </row>
    <row r="168" spans="1:82" x14ac:dyDescent="0.2">
      <c r="A168" s="31"/>
      <c r="B168" s="67">
        <v>149</v>
      </c>
      <c r="C168" s="51">
        <v>11</v>
      </c>
      <c r="D168" s="55">
        <v>9</v>
      </c>
      <c r="E168" s="37">
        <v>2</v>
      </c>
      <c r="F168" s="37">
        <f t="shared" si="43"/>
        <v>1</v>
      </c>
      <c r="G168" s="37" cm="1">
        <f t="array" ref="G168">IF(E168&lt;=INDEX($B$4:$B$17,C168),1,0)</f>
        <v>1</v>
      </c>
      <c r="H168" s="120">
        <f t="shared" ca="1" si="45"/>
        <v>164.0054724784151</v>
      </c>
      <c r="I168" s="38">
        <f>IF(AND(sat_working=TRUE,E168=6),ROUNDDOWN(AVERAGE('Data for 2021'!I162:I166),0),'Data for 2021'!I167)</f>
        <v>190</v>
      </c>
      <c r="J168" s="80">
        <f t="shared" ca="1" si="47"/>
        <v>873.70151244838326</v>
      </c>
      <c r="K168" s="80">
        <f t="shared" ca="1" si="44"/>
        <v>899.69603996996818</v>
      </c>
      <c r="L168" s="55">
        <f t="shared" ca="1" si="46"/>
        <v>0</v>
      </c>
      <c r="M168" s="55">
        <f t="shared" ca="1" si="48"/>
        <v>153.20092561549313</v>
      </c>
      <c r="N168" s="55"/>
      <c r="O168" s="31"/>
      <c r="P168" s="31"/>
      <c r="Q168" s="31"/>
      <c r="R168" s="31"/>
      <c r="S168" s="31"/>
      <c r="T168" s="31"/>
      <c r="U168" s="31"/>
      <c r="V168" s="31"/>
      <c r="W168" s="31"/>
      <c r="X168" s="77"/>
      <c r="Y168" s="31"/>
      <c r="Z168" s="31"/>
      <c r="AA168" s="77"/>
      <c r="AB168" s="31"/>
      <c r="AC168" s="31"/>
      <c r="AD168" s="31"/>
      <c r="AE168" s="31"/>
      <c r="AF168" s="31"/>
      <c r="AG168" s="46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CA168" s="141"/>
      <c r="CB168" s="141"/>
      <c r="CC168" s="141"/>
      <c r="CD168" s="141"/>
    </row>
    <row r="169" spans="1:82" x14ac:dyDescent="0.2">
      <c r="A169" s="31"/>
      <c r="B169" s="70">
        <v>150</v>
      </c>
      <c r="C169" s="51">
        <v>11</v>
      </c>
      <c r="D169" s="55">
        <v>10</v>
      </c>
      <c r="E169" s="37">
        <v>3</v>
      </c>
      <c r="F169" s="37">
        <f t="shared" si="43"/>
        <v>1</v>
      </c>
      <c r="G169" s="37" cm="1">
        <f t="array" ref="G169">IF(E169&lt;=INDEX($B$4:$B$17,C169),1,0)</f>
        <v>1</v>
      </c>
      <c r="H169" s="120">
        <f t="shared" ca="1" si="45"/>
        <v>109.22325601235676</v>
      </c>
      <c r="I169" s="38">
        <f>IF(AND(sat_working=TRUE,E169=6),ROUNDDOWN(AVERAGE('Data for 2021'!I163:I167),0),'Data for 2021'!I168)</f>
        <v>133</v>
      </c>
      <c r="J169" s="80">
        <f t="shared" ca="1" si="47"/>
        <v>899.69603996996818</v>
      </c>
      <c r="K169" s="80">
        <f t="shared" ca="1" si="44"/>
        <v>923.47278395761157</v>
      </c>
      <c r="L169" s="55">
        <f t="shared" ca="1" si="46"/>
        <v>0</v>
      </c>
      <c r="M169" s="55">
        <f t="shared" ca="1" si="48"/>
        <v>164.0054724784151</v>
      </c>
      <c r="N169" s="55"/>
      <c r="O169" s="31"/>
      <c r="P169" s="31"/>
      <c r="Q169" s="31"/>
      <c r="R169" s="31"/>
      <c r="S169" s="31"/>
      <c r="T169" s="31"/>
      <c r="U169" s="31"/>
      <c r="V169" s="31"/>
      <c r="W169" s="31"/>
      <c r="X169" s="77"/>
      <c r="Y169" s="31"/>
      <c r="Z169" s="31"/>
      <c r="AA169" s="77"/>
      <c r="AB169" s="31"/>
      <c r="AC169" s="31"/>
      <c r="AD169" s="31"/>
      <c r="AE169" s="31"/>
      <c r="AF169" s="31"/>
      <c r="AG169" s="46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CA169" s="141"/>
      <c r="CB169" s="141"/>
      <c r="CC169" s="141"/>
      <c r="CD169" s="141"/>
    </row>
    <row r="170" spans="1:82" x14ac:dyDescent="0.2">
      <c r="A170" s="31"/>
      <c r="B170" s="67">
        <v>151</v>
      </c>
      <c r="C170" s="51">
        <v>11</v>
      </c>
      <c r="D170" s="55">
        <v>11</v>
      </c>
      <c r="E170" s="37">
        <v>4</v>
      </c>
      <c r="F170" s="37">
        <f t="shared" si="43"/>
        <v>1</v>
      </c>
      <c r="G170" s="37" cm="1">
        <f t="array" ref="G170">IF(E170&lt;=INDEX($B$4:$B$17,C170),1,0)</f>
        <v>1</v>
      </c>
      <c r="H170" s="120">
        <f t="shared" ca="1" si="45"/>
        <v>152.16541930812011</v>
      </c>
      <c r="I170" s="38">
        <f>IF(AND(sat_working=TRUE,E170=6),ROUNDDOWN(AVERAGE('Data for 2021'!I164:I168),0),'Data for 2021'!I169)</f>
        <v>177</v>
      </c>
      <c r="J170" s="80">
        <f t="shared" ca="1" si="47"/>
        <v>923.47278395761157</v>
      </c>
      <c r="K170" s="80">
        <f t="shared" ca="1" si="44"/>
        <v>948.30736464949155</v>
      </c>
      <c r="L170" s="55">
        <f t="shared" ca="1" si="46"/>
        <v>0</v>
      </c>
      <c r="M170" s="55">
        <f t="shared" ca="1" si="48"/>
        <v>109.22325601235676</v>
      </c>
      <c r="N170" s="55"/>
      <c r="O170" s="31"/>
      <c r="P170" s="31"/>
      <c r="Q170" s="31"/>
      <c r="R170" s="31"/>
      <c r="S170" s="31"/>
      <c r="T170" s="31"/>
      <c r="U170" s="31"/>
      <c r="V170" s="31"/>
      <c r="W170" s="31"/>
      <c r="X170" s="77"/>
      <c r="Y170" s="31"/>
      <c r="Z170" s="31"/>
      <c r="AA170" s="77"/>
      <c r="AB170" s="31"/>
      <c r="AC170" s="31"/>
      <c r="AD170" s="31"/>
      <c r="AE170" s="31"/>
      <c r="AF170" s="31"/>
      <c r="AG170" s="46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CA170" s="141"/>
      <c r="CB170" s="141"/>
      <c r="CC170" s="141"/>
      <c r="CD170" s="141"/>
    </row>
    <row r="171" spans="1:82" x14ac:dyDescent="0.2">
      <c r="A171" s="31"/>
      <c r="B171" s="70">
        <v>152</v>
      </c>
      <c r="C171" s="51">
        <v>11</v>
      </c>
      <c r="D171" s="55">
        <v>12</v>
      </c>
      <c r="E171" s="37">
        <v>5</v>
      </c>
      <c r="F171" s="37">
        <f t="shared" si="43"/>
        <v>1</v>
      </c>
      <c r="G171" s="37" cm="1">
        <f t="array" ref="G171">IF(E171&lt;=INDEX($B$4:$B$17,C171),1,0)</f>
        <v>1</v>
      </c>
      <c r="H171" s="120">
        <f t="shared" ca="1" si="45"/>
        <v>160.97128069393065</v>
      </c>
      <c r="I171" s="38">
        <f>IF(AND(sat_working=TRUE,E171=6),ROUNDDOWN(AVERAGE('Data for 2021'!I165:I169),0),'Data for 2021'!I170)</f>
        <v>178</v>
      </c>
      <c r="J171" s="80">
        <f t="shared" ca="1" si="47"/>
        <v>948.30736464949155</v>
      </c>
      <c r="K171" s="80">
        <f t="shared" ca="1" si="44"/>
        <v>965.33608395556087</v>
      </c>
      <c r="L171" s="55">
        <f t="shared" ca="1" si="46"/>
        <v>0</v>
      </c>
      <c r="M171" s="55">
        <f t="shared" ca="1" si="48"/>
        <v>152.16541930812011</v>
      </c>
      <c r="N171" s="55"/>
      <c r="O171" s="31"/>
      <c r="P171" s="31"/>
      <c r="Q171" s="31"/>
      <c r="R171" s="31"/>
      <c r="S171" s="31"/>
      <c r="T171" s="31"/>
      <c r="U171" s="31"/>
      <c r="V171" s="31"/>
      <c r="W171" s="31"/>
      <c r="X171" s="77"/>
      <c r="Y171" s="31"/>
      <c r="Z171" s="31"/>
      <c r="AA171" s="77"/>
      <c r="AB171" s="31"/>
      <c r="AC171" s="31"/>
      <c r="AD171" s="31"/>
      <c r="AE171" s="31"/>
      <c r="AF171" s="31"/>
      <c r="AG171" s="46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CA171" s="141"/>
      <c r="CB171" s="141"/>
      <c r="CC171" s="141"/>
      <c r="CD171" s="141"/>
    </row>
    <row r="172" spans="1:82" x14ac:dyDescent="0.2">
      <c r="A172" s="31"/>
      <c r="B172" s="67">
        <v>153</v>
      </c>
      <c r="C172" s="51">
        <v>11</v>
      </c>
      <c r="D172" s="55">
        <v>13</v>
      </c>
      <c r="E172" s="37">
        <v>6</v>
      </c>
      <c r="F172" s="37">
        <f t="shared" si="43"/>
        <v>1</v>
      </c>
      <c r="G172" s="37" cm="1">
        <f t="array" ref="G172">IF(E172&lt;=INDEX($B$4:$B$17,C172),1,0)</f>
        <v>1</v>
      </c>
      <c r="H172" s="120">
        <f t="shared" ca="1" si="45"/>
        <v>173.47018834434022</v>
      </c>
      <c r="I172" s="38">
        <f>I165</f>
        <v>171</v>
      </c>
      <c r="J172" s="80">
        <f t="shared" ca="1" si="47"/>
        <v>965.33608395556087</v>
      </c>
      <c r="K172" s="80">
        <f t="shared" ca="1" si="44"/>
        <v>962.86589561122059</v>
      </c>
      <c r="L172" s="55">
        <f t="shared" ca="1" si="46"/>
        <v>0</v>
      </c>
      <c r="M172" s="55">
        <f t="shared" ca="1" si="48"/>
        <v>160.97128069393065</v>
      </c>
      <c r="N172" s="55"/>
      <c r="O172" s="31"/>
      <c r="P172" s="31"/>
      <c r="Q172" s="31"/>
      <c r="R172" s="31"/>
      <c r="S172" s="31"/>
      <c r="T172" s="31"/>
      <c r="U172" s="31"/>
      <c r="V172" s="31"/>
      <c r="W172" s="31"/>
      <c r="X172" s="77"/>
      <c r="Y172" s="31"/>
      <c r="Z172" s="31"/>
      <c r="AA172" s="77"/>
      <c r="AB172" s="31"/>
      <c r="AC172" s="31"/>
      <c r="AD172" s="31"/>
      <c r="AE172" s="31"/>
      <c r="AF172" s="31"/>
      <c r="AG172" s="46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CA172" s="141"/>
      <c r="CB172" s="141"/>
      <c r="CC172" s="141"/>
      <c r="CD172" s="141"/>
    </row>
    <row r="173" spans="1:82" x14ac:dyDescent="0.2">
      <c r="A173" s="31"/>
      <c r="B173" s="70">
        <v>154</v>
      </c>
      <c r="C173" s="52">
        <v>11</v>
      </c>
      <c r="D173" s="57">
        <v>14</v>
      </c>
      <c r="E173" s="37">
        <v>7</v>
      </c>
      <c r="F173" s="37">
        <f t="shared" si="43"/>
        <v>0</v>
      </c>
      <c r="G173" s="37" cm="1">
        <f t="array" ref="G173">IF(E173&lt;=INDEX($B$4:$B$17,C173),1,0)</f>
        <v>0</v>
      </c>
      <c r="H173" s="120">
        <f t="shared" ca="1" si="45"/>
        <v>0</v>
      </c>
      <c r="I173" s="38">
        <f>IF(AND(sat_working=TRUE,E173=6),ROUNDDOWN(AVERAGE('Data for 2021'!I167:I171),0),'Data for 2021'!I172)</f>
        <v>0</v>
      </c>
      <c r="J173" s="80">
        <f t="shared" ca="1" si="47"/>
        <v>962.86589561122059</v>
      </c>
      <c r="K173" s="80">
        <f t="shared" ca="1" si="44"/>
        <v>962.86589561122059</v>
      </c>
      <c r="L173" s="55">
        <f t="shared" ca="1" si="46"/>
        <v>0</v>
      </c>
      <c r="M173" s="55">
        <f t="shared" ca="1" si="48"/>
        <v>173.47018834434022</v>
      </c>
      <c r="N173" s="55"/>
      <c r="O173" s="31"/>
      <c r="P173" s="31"/>
      <c r="Q173" s="31"/>
      <c r="R173" s="31"/>
      <c r="S173" s="31"/>
      <c r="T173" s="31"/>
      <c r="U173" s="31"/>
      <c r="V173" s="31"/>
      <c r="W173" s="31"/>
      <c r="X173" s="77"/>
      <c r="Y173" s="31"/>
      <c r="Z173" s="31"/>
      <c r="AA173" s="77"/>
      <c r="AB173" s="31"/>
      <c r="AC173" s="31"/>
      <c r="AD173" s="31"/>
      <c r="AE173" s="31"/>
      <c r="AF173" s="31"/>
      <c r="AG173" s="46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CA173" s="141"/>
      <c r="CB173" s="141"/>
      <c r="CC173" s="141"/>
      <c r="CD173" s="141"/>
    </row>
    <row r="174" spans="1:82" x14ac:dyDescent="0.2">
      <c r="A174" s="31" t="s">
        <v>77</v>
      </c>
      <c r="B174" s="67">
        <v>155</v>
      </c>
      <c r="C174" s="50">
        <v>12</v>
      </c>
      <c r="D174" s="53">
        <v>1</v>
      </c>
      <c r="E174" s="35">
        <v>1</v>
      </c>
      <c r="F174" s="35">
        <f t="shared" si="43"/>
        <v>1</v>
      </c>
      <c r="G174" s="35" cm="1">
        <f t="array" ref="G174">IF(E174&lt;=INDEX($B$4:$B$17,C174),1,0)</f>
        <v>1</v>
      </c>
      <c r="H174" s="120">
        <f t="shared" ca="1" si="45"/>
        <v>152.37976469585331</v>
      </c>
      <c r="I174" s="38">
        <f>IF(AND(sat_working=TRUE,E174=6),ROUNDDOWN(AVERAGE('Data for 2021'!I168:I172),0),'Data for 2021'!I173)</f>
        <v>145</v>
      </c>
      <c r="J174" s="80">
        <f t="shared" ca="1" si="47"/>
        <v>962.86589561122059</v>
      </c>
      <c r="K174" s="80">
        <f t="shared" ca="1" si="44"/>
        <v>955.48613091536731</v>
      </c>
      <c r="L174" s="55">
        <f t="shared" ca="1" si="46"/>
        <v>0</v>
      </c>
      <c r="M174" s="55" t="str">
        <f t="shared" ca="1" si="48"/>
        <v/>
      </c>
      <c r="N174" s="55"/>
      <c r="O174" s="31"/>
      <c r="P174" s="31"/>
      <c r="Q174" s="31"/>
      <c r="R174" s="31"/>
      <c r="S174" s="31"/>
      <c r="T174" s="31"/>
      <c r="U174" s="31"/>
      <c r="V174" s="31"/>
      <c r="W174" s="31"/>
      <c r="X174" s="77"/>
      <c r="Y174" s="31"/>
      <c r="Z174" s="31"/>
      <c r="AA174" s="77"/>
      <c r="AB174" s="31"/>
      <c r="AC174" s="31"/>
      <c r="AD174" s="31"/>
      <c r="AE174" s="31"/>
      <c r="AF174" s="31"/>
      <c r="AG174" s="46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CA174" s="141"/>
      <c r="CB174" s="141"/>
      <c r="CC174" s="141"/>
      <c r="CD174" s="141"/>
    </row>
    <row r="175" spans="1:82" x14ac:dyDescent="0.2">
      <c r="A175" s="31"/>
      <c r="B175" s="70">
        <v>156</v>
      </c>
      <c r="C175" s="51">
        <v>12</v>
      </c>
      <c r="D175" s="55">
        <v>2</v>
      </c>
      <c r="E175" s="37">
        <v>2</v>
      </c>
      <c r="F175" s="37">
        <f t="shared" si="43"/>
        <v>1</v>
      </c>
      <c r="G175" s="37" cm="1">
        <f t="array" ref="G175">IF(E175&lt;=INDEX($B$4:$B$17,C175),1,0)</f>
        <v>1</v>
      </c>
      <c r="H175" s="120">
        <f t="shared" ca="1" si="45"/>
        <v>141.54551542615923</v>
      </c>
      <c r="I175" s="38">
        <f>IF(AND(sat_working=TRUE,E175=6),ROUNDDOWN(AVERAGE('Data for 2021'!I169:I173),0),'Data for 2021'!I174)</f>
        <v>156</v>
      </c>
      <c r="J175" s="80">
        <f t="shared" ca="1" si="47"/>
        <v>955.48613091536731</v>
      </c>
      <c r="K175" s="80">
        <f t="shared" ca="1" si="44"/>
        <v>969.94061548920808</v>
      </c>
      <c r="L175" s="55">
        <f t="shared" ca="1" si="46"/>
        <v>0</v>
      </c>
      <c r="M175" s="55">
        <f t="shared" ca="1" si="48"/>
        <v>152.37976469585331</v>
      </c>
      <c r="N175" s="55"/>
      <c r="O175" s="31"/>
      <c r="P175" s="31"/>
      <c r="Q175" s="31"/>
      <c r="R175" s="31"/>
      <c r="S175" s="31"/>
      <c r="T175" s="31"/>
      <c r="U175" s="31"/>
      <c r="V175" s="31"/>
      <c r="W175" s="31"/>
      <c r="X175" s="77"/>
      <c r="Y175" s="31"/>
      <c r="Z175" s="31"/>
      <c r="AA175" s="77"/>
      <c r="AB175" s="31"/>
      <c r="AC175" s="31"/>
      <c r="AD175" s="31"/>
      <c r="AE175" s="31"/>
      <c r="AF175" s="31"/>
      <c r="AG175" s="46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CA175" s="141"/>
      <c r="CB175" s="141"/>
      <c r="CC175" s="141"/>
      <c r="CD175" s="141"/>
    </row>
    <row r="176" spans="1:82" x14ac:dyDescent="0.2">
      <c r="A176" s="31"/>
      <c r="B176" s="67">
        <v>157</v>
      </c>
      <c r="C176" s="51">
        <v>12</v>
      </c>
      <c r="D176" s="55">
        <v>3</v>
      </c>
      <c r="E176" s="37">
        <v>3</v>
      </c>
      <c r="F176" s="37">
        <f t="shared" si="43"/>
        <v>1</v>
      </c>
      <c r="G176" s="37" cm="1">
        <f t="array" ref="G176">IF(E176&lt;=INDEX($B$4:$B$17,C176),1,0)</f>
        <v>1</v>
      </c>
      <c r="H176" s="120">
        <f t="shared" ca="1" si="45"/>
        <v>157.39216161497677</v>
      </c>
      <c r="I176" s="38">
        <f>IF(AND(sat_working=TRUE,E176=6),ROUNDDOWN(AVERAGE('Data for 2021'!I170:I174),0),'Data for 2021'!I175)</f>
        <v>143</v>
      </c>
      <c r="J176" s="80">
        <f t="shared" ca="1" si="47"/>
        <v>969.94061548920808</v>
      </c>
      <c r="K176" s="80">
        <f t="shared" ca="1" si="44"/>
        <v>955.54845387423131</v>
      </c>
      <c r="L176" s="55">
        <f t="shared" ca="1" si="46"/>
        <v>0</v>
      </c>
      <c r="M176" s="55">
        <f t="shared" ca="1" si="48"/>
        <v>141.54551542615923</v>
      </c>
      <c r="N176" s="55"/>
      <c r="O176" s="31"/>
      <c r="P176" s="31"/>
      <c r="Q176" s="31"/>
      <c r="R176" s="31"/>
      <c r="S176" s="31"/>
      <c r="T176" s="31"/>
      <c r="U176" s="31"/>
      <c r="V176" s="31"/>
      <c r="W176" s="31"/>
      <c r="X176" s="77"/>
      <c r="Y176" s="31"/>
      <c r="Z176" s="31"/>
      <c r="AA176" s="77"/>
      <c r="AB176" s="31"/>
      <c r="AC176" s="31"/>
      <c r="AD176" s="31"/>
      <c r="AE176" s="31"/>
      <c r="AF176" s="31"/>
      <c r="AG176" s="46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CA176" s="141"/>
      <c r="CB176" s="141"/>
      <c r="CC176" s="141"/>
      <c r="CD176" s="141"/>
    </row>
    <row r="177" spans="1:82" x14ac:dyDescent="0.2">
      <c r="A177" s="31"/>
      <c r="B177" s="70">
        <v>158</v>
      </c>
      <c r="C177" s="51">
        <v>12</v>
      </c>
      <c r="D177" s="55">
        <v>4</v>
      </c>
      <c r="E177" s="37">
        <v>4</v>
      </c>
      <c r="F177" s="37">
        <f t="shared" si="43"/>
        <v>1</v>
      </c>
      <c r="G177" s="37" cm="1">
        <f t="array" ref="G177">IF(E177&lt;=INDEX($B$4:$B$17,C177),1,0)</f>
        <v>1</v>
      </c>
      <c r="H177" s="120">
        <f t="shared" ca="1" si="45"/>
        <v>176.81483032784942</v>
      </c>
      <c r="I177" s="38">
        <f>IF(AND(sat_working=TRUE,E177=6),ROUNDDOWN(AVERAGE('Data for 2021'!I171:I175),0),'Data for 2021'!I176)</f>
        <v>148</v>
      </c>
      <c r="J177" s="80">
        <f t="shared" ca="1" si="47"/>
        <v>955.54845387423131</v>
      </c>
      <c r="K177" s="80">
        <f t="shared" ca="1" si="44"/>
        <v>926.73362354638175</v>
      </c>
      <c r="L177" s="55">
        <f t="shared" ca="1" si="46"/>
        <v>0</v>
      </c>
      <c r="M177" s="55">
        <f t="shared" ca="1" si="48"/>
        <v>157.39216161497677</v>
      </c>
      <c r="N177" s="55"/>
      <c r="O177" s="31"/>
      <c r="P177" s="31"/>
      <c r="Q177" s="31"/>
      <c r="R177" s="31"/>
      <c r="S177" s="31"/>
      <c r="T177" s="31"/>
      <c r="U177" s="31"/>
      <c r="V177" s="31"/>
      <c r="W177" s="31"/>
      <c r="X177" s="77"/>
      <c r="Y177" s="31"/>
      <c r="Z177" s="31"/>
      <c r="AA177" s="77"/>
      <c r="AB177" s="31"/>
      <c r="AC177" s="31"/>
      <c r="AD177" s="31"/>
      <c r="AE177" s="31"/>
      <c r="AF177" s="31"/>
      <c r="AG177" s="46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CA177" s="141"/>
      <c r="CB177" s="141"/>
      <c r="CC177" s="141"/>
      <c r="CD177" s="141"/>
    </row>
    <row r="178" spans="1:82" x14ac:dyDescent="0.2">
      <c r="A178" s="31"/>
      <c r="B178" s="67">
        <v>159</v>
      </c>
      <c r="C178" s="51">
        <v>12</v>
      </c>
      <c r="D178" s="55">
        <v>5</v>
      </c>
      <c r="E178" s="37">
        <v>5</v>
      </c>
      <c r="F178" s="37">
        <f t="shared" si="43"/>
        <v>1</v>
      </c>
      <c r="G178" s="37" cm="1">
        <f t="array" ref="G178">IF(E178&lt;=INDEX($B$4:$B$17,C178),1,0)</f>
        <v>1</v>
      </c>
      <c r="H178" s="120">
        <f t="shared" ca="1" si="45"/>
        <v>155.76768047529018</v>
      </c>
      <c r="I178" s="38">
        <f>IF(AND(sat_working=TRUE,E178=6),ROUNDDOWN(AVERAGE('Data for 2021'!I172:I176),0),'Data for 2021'!I177)</f>
        <v>144</v>
      </c>
      <c r="J178" s="80">
        <f t="shared" ca="1" si="47"/>
        <v>926.73362354638175</v>
      </c>
      <c r="K178" s="80">
        <f t="shared" ca="1" si="44"/>
        <v>914.9659430710916</v>
      </c>
      <c r="L178" s="55">
        <f t="shared" ca="1" si="46"/>
        <v>0</v>
      </c>
      <c r="M178" s="55">
        <f t="shared" ca="1" si="48"/>
        <v>176.81483032784942</v>
      </c>
      <c r="N178" s="55"/>
      <c r="O178" s="31"/>
      <c r="P178" s="31"/>
      <c r="Q178" s="31"/>
      <c r="R178" s="31"/>
      <c r="S178" s="31"/>
      <c r="T178" s="31"/>
      <c r="U178" s="31"/>
      <c r="V178" s="31"/>
      <c r="W178" s="31"/>
      <c r="X178" s="77"/>
      <c r="Y178" s="31"/>
      <c r="Z178" s="31"/>
      <c r="AA178" s="77"/>
      <c r="AB178" s="31"/>
      <c r="AC178" s="31"/>
      <c r="AD178" s="31"/>
      <c r="AE178" s="31"/>
      <c r="AF178" s="31"/>
      <c r="AG178" s="46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CA178" s="141"/>
      <c r="CB178" s="141"/>
      <c r="CC178" s="141"/>
      <c r="CD178" s="141"/>
    </row>
    <row r="179" spans="1:82" x14ac:dyDescent="0.2">
      <c r="A179" s="31"/>
      <c r="B179" s="70">
        <v>160</v>
      </c>
      <c r="C179" s="51">
        <v>12</v>
      </c>
      <c r="D179" s="55">
        <v>6</v>
      </c>
      <c r="E179" s="37">
        <v>6</v>
      </c>
      <c r="F179" s="37">
        <f t="shared" si="43"/>
        <v>1</v>
      </c>
      <c r="G179" s="37" cm="1">
        <f t="array" ref="G179">IF(E179&lt;=INDEX($B$4:$B$17,C179),1,0)</f>
        <v>0</v>
      </c>
      <c r="H179" s="120">
        <f t="shared" ca="1" si="45"/>
        <v>0</v>
      </c>
      <c r="I179" s="38">
        <f>IF(AND(sat_working=TRUE,E179=6),ROUNDDOWN(AVERAGE('Data for 2021'!I173:I177,'Data for 2021'!I180:I184),0),'Data for 2021'!I178)</f>
        <v>138</v>
      </c>
      <c r="J179" s="80">
        <f t="shared" ca="1" si="47"/>
        <v>914.9659430710916</v>
      </c>
      <c r="K179" s="80">
        <f t="shared" ca="1" si="44"/>
        <v>1052.9659430710917</v>
      </c>
      <c r="L179" s="55">
        <f t="shared" ca="1" si="46"/>
        <v>0</v>
      </c>
      <c r="M179" s="55">
        <f t="shared" ca="1" si="48"/>
        <v>155.76768047529018</v>
      </c>
      <c r="N179" s="55"/>
      <c r="O179" s="31"/>
      <c r="P179" s="31"/>
      <c r="Q179" s="31"/>
      <c r="R179" s="31"/>
      <c r="S179" s="31"/>
      <c r="T179" s="31"/>
      <c r="U179" s="31"/>
      <c r="V179" s="31"/>
      <c r="W179" s="31"/>
      <c r="X179" s="77"/>
      <c r="Y179" s="31"/>
      <c r="Z179" s="31"/>
      <c r="AA179" s="77"/>
      <c r="AB179" s="31"/>
      <c r="AC179" s="31"/>
      <c r="AD179" s="31"/>
      <c r="AE179" s="31"/>
      <c r="AF179" s="31"/>
      <c r="AG179" s="46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CA179" s="141"/>
      <c r="CB179" s="141"/>
      <c r="CC179" s="141"/>
      <c r="CD179" s="141"/>
    </row>
    <row r="180" spans="1:82" x14ac:dyDescent="0.2">
      <c r="A180" s="31"/>
      <c r="B180" s="67">
        <v>161</v>
      </c>
      <c r="C180" s="51">
        <v>12</v>
      </c>
      <c r="D180" s="55">
        <v>7</v>
      </c>
      <c r="E180" s="37">
        <v>7</v>
      </c>
      <c r="F180" s="37">
        <f t="shared" ref="F180:F211" si="49">IF(OR(I180&lt;&gt;0,(AND(sat_working=TRUE,E180=6))),1,0)</f>
        <v>0</v>
      </c>
      <c r="G180" s="37" cm="1">
        <f t="array" ref="G180">IF(E180&lt;=INDEX($B$4:$B$17,C180),1,0)</f>
        <v>0</v>
      </c>
      <c r="H180" s="120">
        <f t="shared" ca="1" si="45"/>
        <v>0</v>
      </c>
      <c r="I180" s="38">
        <f>IF(AND(sat_working=TRUE,E180=6),ROUNDDOWN(AVERAGE('Data for 2021'!I174:I178),0),'Data for 2021'!I179)</f>
        <v>0</v>
      </c>
      <c r="J180" s="80">
        <f t="shared" ca="1" si="47"/>
        <v>1052.9659430710917</v>
      </c>
      <c r="K180" s="80">
        <f t="shared" ref="K180:K211" ca="1" si="50">J180+I180-H180</f>
        <v>1052.9659430710917</v>
      </c>
      <c r="L180" s="55">
        <f t="shared" ca="1" si="46"/>
        <v>0</v>
      </c>
      <c r="M180" s="55" t="str">
        <f t="shared" ca="1" si="48"/>
        <v/>
      </c>
      <c r="N180" s="55"/>
      <c r="O180" s="31"/>
      <c r="P180" s="31"/>
      <c r="Q180" s="31"/>
      <c r="R180" s="31"/>
      <c r="S180" s="31"/>
      <c r="T180" s="31"/>
      <c r="U180" s="31"/>
      <c r="V180" s="31"/>
      <c r="W180" s="31"/>
      <c r="X180" s="77"/>
      <c r="Y180" s="31"/>
      <c r="Z180" s="31"/>
      <c r="AA180" s="77"/>
      <c r="AB180" s="31"/>
      <c r="AC180" s="31"/>
      <c r="AD180" s="31"/>
      <c r="AE180" s="31"/>
      <c r="AF180" s="31"/>
      <c r="AG180" s="46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CA180" s="141"/>
      <c r="CB180" s="141"/>
      <c r="CC180" s="141"/>
      <c r="CD180" s="141"/>
    </row>
    <row r="181" spans="1:82" x14ac:dyDescent="0.2">
      <c r="A181" s="31"/>
      <c r="B181" s="70">
        <v>162</v>
      </c>
      <c r="C181" s="51">
        <v>12</v>
      </c>
      <c r="D181" s="55">
        <v>8</v>
      </c>
      <c r="E181" s="35">
        <v>1</v>
      </c>
      <c r="F181" s="35">
        <f t="shared" si="49"/>
        <v>1</v>
      </c>
      <c r="G181" s="37" cm="1">
        <f t="array" ref="G181">IF(E181&lt;=INDEX($B$4:$B$17,C181),1,0)</f>
        <v>1</v>
      </c>
      <c r="H181" s="120">
        <f t="shared" ref="H181:H212" ca="1" si="51">IF(G181=1,IF(cutting_choice=1, MIN(J181,$H$12),MIN(J181,NORMINV(RAND(),$H$13,$H$14))),0)</f>
        <v>164.1354371384312</v>
      </c>
      <c r="I181" s="38">
        <f>IF(AND(sat_working=TRUE,E181=6),ROUNDDOWN(AVERAGE('Data for 2021'!I175:I179),0),'Data for 2021'!I180)</f>
        <v>154</v>
      </c>
      <c r="J181" s="80">
        <f t="shared" ca="1" si="47"/>
        <v>1052.9659430710917</v>
      </c>
      <c r="K181" s="80">
        <f t="shared" ca="1" si="50"/>
        <v>1042.8305059326606</v>
      </c>
      <c r="L181" s="55">
        <f t="shared" ref="L181:L215" ca="1" si="52">IF(AND(H181=J181,G181),1,0)</f>
        <v>0</v>
      </c>
      <c r="M181" s="55" t="str">
        <f t="shared" ca="1" si="48"/>
        <v/>
      </c>
      <c r="N181" s="55"/>
      <c r="O181" s="31"/>
      <c r="P181" s="31"/>
      <c r="Q181" s="31"/>
      <c r="R181" s="31"/>
      <c r="S181" s="31"/>
      <c r="T181" s="31"/>
      <c r="U181" s="31"/>
      <c r="V181" s="31"/>
      <c r="W181" s="31"/>
      <c r="X181" s="77"/>
      <c r="Y181" s="31"/>
      <c r="Z181" s="31"/>
      <c r="AA181" s="77"/>
      <c r="AB181" s="31"/>
      <c r="AC181" s="31"/>
      <c r="AD181" s="31"/>
      <c r="AE181" s="31"/>
      <c r="AF181" s="31"/>
      <c r="AG181" s="46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CA181" s="141"/>
      <c r="CB181" s="141"/>
      <c r="CC181" s="141"/>
      <c r="CD181" s="141"/>
    </row>
    <row r="182" spans="1:82" x14ac:dyDescent="0.2">
      <c r="A182" s="31"/>
      <c r="B182" s="67">
        <v>163</v>
      </c>
      <c r="C182" s="51">
        <v>12</v>
      </c>
      <c r="D182" s="55">
        <v>9</v>
      </c>
      <c r="E182" s="37">
        <v>2</v>
      </c>
      <c r="F182" s="37">
        <f t="shared" si="49"/>
        <v>1</v>
      </c>
      <c r="G182" s="37" cm="1">
        <f t="array" ref="G182">IF(E182&lt;=INDEX($B$4:$B$17,C182),1,0)</f>
        <v>1</v>
      </c>
      <c r="H182" s="120">
        <f t="shared" ca="1" si="51"/>
        <v>195.09425505018083</v>
      </c>
      <c r="I182" s="38">
        <f>IF(AND(sat_working=TRUE,E182=6),ROUNDDOWN(AVERAGE('Data for 2021'!I176:I180),0),'Data for 2021'!I181)</f>
        <v>86</v>
      </c>
      <c r="J182" s="80">
        <f t="shared" ca="1" si="47"/>
        <v>1042.8305059326606</v>
      </c>
      <c r="K182" s="80">
        <f t="shared" ca="1" si="50"/>
        <v>933.73625088247968</v>
      </c>
      <c r="L182" s="55">
        <f t="shared" ca="1" si="52"/>
        <v>0</v>
      </c>
      <c r="M182" s="55">
        <f t="shared" ca="1" si="48"/>
        <v>164.1354371384312</v>
      </c>
      <c r="N182" s="55"/>
      <c r="O182" s="31"/>
      <c r="P182" s="31"/>
      <c r="Q182" s="31"/>
      <c r="R182" s="31"/>
      <c r="S182" s="31"/>
      <c r="T182" s="31"/>
      <c r="U182" s="31"/>
      <c r="V182" s="31"/>
      <c r="W182" s="31"/>
      <c r="X182" s="77"/>
      <c r="Y182" s="31"/>
      <c r="Z182" s="31"/>
      <c r="AA182" s="77"/>
      <c r="AB182" s="31"/>
      <c r="AC182" s="31"/>
      <c r="AD182" s="31"/>
      <c r="AE182" s="31"/>
      <c r="AF182" s="31"/>
      <c r="AG182" s="46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CA182" s="141"/>
      <c r="CB182" s="141"/>
      <c r="CC182" s="141"/>
      <c r="CD182" s="141"/>
    </row>
    <row r="183" spans="1:82" x14ac:dyDescent="0.2">
      <c r="A183" s="31"/>
      <c r="B183" s="70">
        <v>164</v>
      </c>
      <c r="C183" s="51">
        <v>12</v>
      </c>
      <c r="D183" s="55">
        <v>10</v>
      </c>
      <c r="E183" s="37">
        <v>3</v>
      </c>
      <c r="F183" s="37">
        <f t="shared" si="49"/>
        <v>1</v>
      </c>
      <c r="G183" s="37" cm="1">
        <f t="array" ref="G183">IF(E183&lt;=INDEX($B$4:$B$17,C183),1,0)</f>
        <v>1</v>
      </c>
      <c r="H183" s="120">
        <f t="shared" ca="1" si="51"/>
        <v>182.36501432090174</v>
      </c>
      <c r="I183" s="38">
        <f>IF(AND(sat_working=TRUE,E183=6),ROUNDDOWN(AVERAGE('Data for 2021'!I177:I181),0),'Data for 2021'!I182)</f>
        <v>125</v>
      </c>
      <c r="J183" s="80">
        <f t="shared" ca="1" si="47"/>
        <v>933.73625088247968</v>
      </c>
      <c r="K183" s="80">
        <f t="shared" ca="1" si="50"/>
        <v>876.37123656157792</v>
      </c>
      <c r="L183" s="55">
        <f t="shared" ca="1" si="52"/>
        <v>0</v>
      </c>
      <c r="M183" s="55">
        <f t="shared" ca="1" si="48"/>
        <v>195.09425505018083</v>
      </c>
      <c r="N183" s="55"/>
      <c r="O183" s="31"/>
      <c r="P183" s="31"/>
      <c r="Q183" s="31"/>
      <c r="R183" s="31"/>
      <c r="S183" s="31"/>
      <c r="T183" s="31"/>
      <c r="U183" s="31"/>
      <c r="V183" s="31"/>
      <c r="W183" s="31"/>
      <c r="X183" s="77"/>
      <c r="Y183" s="31"/>
      <c r="Z183" s="31"/>
      <c r="AA183" s="77"/>
      <c r="AB183" s="31"/>
      <c r="AC183" s="31"/>
      <c r="AD183" s="31"/>
      <c r="AE183" s="31"/>
      <c r="AF183" s="31"/>
      <c r="AG183" s="46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CA183" s="141"/>
      <c r="CB183" s="141"/>
      <c r="CC183" s="141"/>
      <c r="CD183" s="141"/>
    </row>
    <row r="184" spans="1:82" x14ac:dyDescent="0.2">
      <c r="A184" s="31"/>
      <c r="B184" s="67">
        <v>165</v>
      </c>
      <c r="C184" s="51">
        <v>12</v>
      </c>
      <c r="D184" s="55">
        <v>11</v>
      </c>
      <c r="E184" s="37">
        <v>4</v>
      </c>
      <c r="F184" s="37">
        <f t="shared" si="49"/>
        <v>1</v>
      </c>
      <c r="G184" s="37" cm="1">
        <f t="array" ref="G184">IF(E184&lt;=INDEX($B$4:$B$17,C184),1,0)</f>
        <v>1</v>
      </c>
      <c r="H184" s="120">
        <f t="shared" ca="1" si="51"/>
        <v>162.37689941341597</v>
      </c>
      <c r="I184" s="38">
        <f>IF(AND(sat_working=TRUE,E184=6),ROUNDDOWN(AVERAGE('Data for 2021'!I178:I182),0),'Data for 2021'!I183)</f>
        <v>150</v>
      </c>
      <c r="J184" s="80">
        <f t="shared" ca="1" si="47"/>
        <v>876.37123656157792</v>
      </c>
      <c r="K184" s="80">
        <f t="shared" ca="1" si="50"/>
        <v>863.994337148162</v>
      </c>
      <c r="L184" s="55">
        <f t="shared" ca="1" si="52"/>
        <v>0</v>
      </c>
      <c r="M184" s="55">
        <f t="shared" ca="1" si="48"/>
        <v>182.36501432090174</v>
      </c>
      <c r="N184" s="55"/>
      <c r="O184" s="31"/>
      <c r="P184" s="31"/>
      <c r="Q184" s="31"/>
      <c r="R184" s="31"/>
      <c r="S184" s="31"/>
      <c r="T184" s="31"/>
      <c r="U184" s="31"/>
      <c r="V184" s="31"/>
      <c r="W184" s="31"/>
      <c r="X184" s="77"/>
      <c r="Y184" s="31"/>
      <c r="Z184" s="31"/>
      <c r="AA184" s="77"/>
      <c r="AB184" s="31"/>
      <c r="AC184" s="31"/>
      <c r="AD184" s="31"/>
      <c r="AE184" s="31"/>
      <c r="AF184" s="31"/>
      <c r="AG184" s="46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CA184" s="141"/>
      <c r="CB184" s="141"/>
      <c r="CC184" s="141"/>
      <c r="CD184" s="141"/>
    </row>
    <row r="185" spans="1:82" x14ac:dyDescent="0.2">
      <c r="A185" s="31"/>
      <c r="B185" s="70">
        <v>166</v>
      </c>
      <c r="C185" s="51">
        <v>12</v>
      </c>
      <c r="D185" s="55">
        <v>12</v>
      </c>
      <c r="E185" s="37">
        <v>5</v>
      </c>
      <c r="F185" s="37">
        <f t="shared" si="49"/>
        <v>1</v>
      </c>
      <c r="G185" s="37" cm="1">
        <f t="array" ref="G185">IF(E185&lt;=INDEX($B$4:$B$17,C185),1,0)</f>
        <v>1</v>
      </c>
      <c r="H185" s="120">
        <f t="shared" ca="1" si="51"/>
        <v>183.69285076754807</v>
      </c>
      <c r="I185" s="38">
        <f>IF(AND(sat_working=TRUE,E185=6),ROUNDDOWN(AVERAGE('Data for 2021'!I179:I183),0),'Data for 2021'!I184)</f>
        <v>136</v>
      </c>
      <c r="J185" s="80">
        <f t="shared" ca="1" si="47"/>
        <v>863.994337148162</v>
      </c>
      <c r="K185" s="80">
        <f t="shared" ca="1" si="50"/>
        <v>816.30148638061394</v>
      </c>
      <c r="L185" s="55">
        <f t="shared" ca="1" si="52"/>
        <v>0</v>
      </c>
      <c r="M185" s="55">
        <f t="shared" ca="1" si="48"/>
        <v>162.37689941341597</v>
      </c>
      <c r="N185" s="55"/>
      <c r="O185" s="31"/>
      <c r="P185" s="31"/>
      <c r="Q185" s="31"/>
      <c r="R185" s="31"/>
      <c r="S185" s="31"/>
      <c r="T185" s="31"/>
      <c r="U185" s="31"/>
      <c r="V185" s="31"/>
      <c r="W185" s="31"/>
      <c r="X185" s="77"/>
      <c r="Y185" s="31"/>
      <c r="Z185" s="31"/>
      <c r="AA185" s="77"/>
      <c r="AB185" s="31"/>
      <c r="AC185" s="31"/>
      <c r="AD185" s="31"/>
      <c r="AE185" s="31"/>
      <c r="AF185" s="31"/>
      <c r="AG185" s="46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CA185" s="141"/>
      <c r="CB185" s="141"/>
      <c r="CC185" s="141"/>
      <c r="CD185" s="141"/>
    </row>
    <row r="186" spans="1:82" x14ac:dyDescent="0.2">
      <c r="A186" s="31"/>
      <c r="B186" s="67">
        <v>167</v>
      </c>
      <c r="C186" s="51">
        <v>12</v>
      </c>
      <c r="D186" s="55">
        <v>13</v>
      </c>
      <c r="E186" s="37">
        <v>6</v>
      </c>
      <c r="F186" s="37">
        <f t="shared" si="49"/>
        <v>1</v>
      </c>
      <c r="G186" s="37" cm="1">
        <f t="array" ref="G186">IF(E186&lt;=INDEX($B$4:$B$17,C186),1,0)</f>
        <v>0</v>
      </c>
      <c r="H186" s="120">
        <f t="shared" ca="1" si="51"/>
        <v>0</v>
      </c>
      <c r="I186" s="38">
        <f>I179</f>
        <v>138</v>
      </c>
      <c r="J186" s="80">
        <f t="shared" ca="1" si="47"/>
        <v>816.30148638061394</v>
      </c>
      <c r="K186" s="80">
        <f t="shared" ca="1" si="50"/>
        <v>954.30148638061394</v>
      </c>
      <c r="L186" s="55">
        <f t="shared" ca="1" si="52"/>
        <v>0</v>
      </c>
      <c r="M186" s="55">
        <f t="shared" ca="1" si="48"/>
        <v>183.69285076754807</v>
      </c>
      <c r="N186" s="55"/>
      <c r="O186" s="31"/>
      <c r="P186" s="31"/>
      <c r="Q186" s="31"/>
      <c r="R186" s="31"/>
      <c r="S186" s="31"/>
      <c r="T186" s="31"/>
      <c r="U186" s="31"/>
      <c r="V186" s="31"/>
      <c r="W186" s="31"/>
      <c r="X186" s="77"/>
      <c r="Y186" s="31"/>
      <c r="Z186" s="31"/>
      <c r="AA186" s="77"/>
      <c r="AB186" s="31"/>
      <c r="AC186" s="31"/>
      <c r="AD186" s="31"/>
      <c r="AE186" s="31"/>
      <c r="AF186" s="31"/>
      <c r="AG186" s="46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CA186" s="141"/>
      <c r="CB186" s="141"/>
      <c r="CC186" s="141"/>
      <c r="CD186" s="141"/>
    </row>
    <row r="187" spans="1:82" x14ac:dyDescent="0.2">
      <c r="A187" s="31"/>
      <c r="B187" s="70">
        <v>168</v>
      </c>
      <c r="C187" s="52">
        <v>12</v>
      </c>
      <c r="D187" s="57">
        <v>14</v>
      </c>
      <c r="E187" s="37">
        <v>7</v>
      </c>
      <c r="F187" s="37">
        <f t="shared" si="49"/>
        <v>0</v>
      </c>
      <c r="G187" s="37" cm="1">
        <f t="array" ref="G187">IF(E187&lt;=INDEX($B$4:$B$17,C187),1,0)</f>
        <v>0</v>
      </c>
      <c r="H187" s="120">
        <f t="shared" ca="1" si="51"/>
        <v>0</v>
      </c>
      <c r="I187" s="38">
        <f>IF(AND(sat_working=TRUE,E187=6),ROUNDDOWN(AVERAGE('Data for 2021'!I181:I185),0),'Data for 2021'!I186)</f>
        <v>0</v>
      </c>
      <c r="J187" s="80">
        <f t="shared" ca="1" si="47"/>
        <v>954.30148638061394</v>
      </c>
      <c r="K187" s="80">
        <f t="shared" ca="1" si="50"/>
        <v>954.30148638061394</v>
      </c>
      <c r="L187" s="55">
        <f t="shared" ca="1" si="52"/>
        <v>0</v>
      </c>
      <c r="M187" s="55" t="str">
        <f t="shared" ca="1" si="48"/>
        <v/>
      </c>
      <c r="N187" s="55"/>
      <c r="O187" s="31"/>
      <c r="P187" s="31"/>
      <c r="Q187" s="31"/>
      <c r="R187" s="31"/>
      <c r="S187" s="31"/>
      <c r="T187" s="31"/>
      <c r="U187" s="31"/>
      <c r="V187" s="31"/>
      <c r="W187" s="31"/>
      <c r="X187" s="77"/>
      <c r="Y187" s="31"/>
      <c r="Z187" s="31"/>
      <c r="AA187" s="77"/>
      <c r="AB187" s="31"/>
      <c r="AC187" s="31"/>
      <c r="AD187" s="31"/>
      <c r="AE187" s="31"/>
      <c r="AF187" s="31"/>
      <c r="AG187" s="46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CA187" s="141"/>
      <c r="CB187" s="141"/>
      <c r="CC187" s="141"/>
      <c r="CD187" s="141"/>
    </row>
    <row r="188" spans="1:82" x14ac:dyDescent="0.2">
      <c r="A188" s="31" t="s">
        <v>78</v>
      </c>
      <c r="B188" s="67">
        <v>169</v>
      </c>
      <c r="C188" s="50">
        <v>13</v>
      </c>
      <c r="D188" s="53">
        <v>1</v>
      </c>
      <c r="E188" s="35">
        <v>1</v>
      </c>
      <c r="F188" s="35">
        <f t="shared" si="49"/>
        <v>1</v>
      </c>
      <c r="G188" s="35" cm="1">
        <f t="array" ref="G188">IF(E188&lt;=INDEX($B$4:$B$17,C188),1,0)</f>
        <v>1</v>
      </c>
      <c r="H188" s="120">
        <f t="shared" ca="1" si="51"/>
        <v>116.21280299472738</v>
      </c>
      <c r="I188" s="38">
        <f>IF(AND(sat_working=TRUE,E188=6),ROUNDDOWN(AVERAGE('Data for 2021'!I182:I186),0),'Data for 2021'!I187)</f>
        <v>145</v>
      </c>
      <c r="J188" s="80">
        <f t="shared" ca="1" si="47"/>
        <v>954.30148638061394</v>
      </c>
      <c r="K188" s="80">
        <f t="shared" ca="1" si="50"/>
        <v>983.0886833858865</v>
      </c>
      <c r="L188" s="55">
        <f t="shared" ca="1" si="52"/>
        <v>0</v>
      </c>
      <c r="M188" s="55" t="str">
        <f t="shared" ca="1" si="48"/>
        <v/>
      </c>
      <c r="N188" s="55"/>
      <c r="O188" s="31"/>
      <c r="P188" s="31"/>
      <c r="Q188" s="31"/>
      <c r="R188" s="31"/>
      <c r="S188" s="31"/>
      <c r="T188" s="31"/>
      <c r="U188" s="31"/>
      <c r="V188" s="31"/>
      <c r="W188" s="31"/>
      <c r="X188" s="77"/>
      <c r="Y188" s="31"/>
      <c r="Z188" s="31"/>
      <c r="AA188" s="77"/>
      <c r="AB188" s="31"/>
      <c r="AC188" s="31"/>
      <c r="AD188" s="31"/>
      <c r="AE188" s="31"/>
      <c r="AF188" s="31"/>
      <c r="AG188" s="46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CA188" s="141"/>
      <c r="CB188" s="141"/>
      <c r="CC188" s="141"/>
      <c r="CD188" s="141"/>
    </row>
    <row r="189" spans="1:82" x14ac:dyDescent="0.2">
      <c r="A189" s="31"/>
      <c r="B189" s="70">
        <v>170</v>
      </c>
      <c r="C189" s="51">
        <v>13</v>
      </c>
      <c r="D189" s="55">
        <v>2</v>
      </c>
      <c r="E189" s="37">
        <v>2</v>
      </c>
      <c r="F189" s="37">
        <f t="shared" si="49"/>
        <v>1</v>
      </c>
      <c r="G189" s="37" cm="1">
        <f t="array" ref="G189">IF(E189&lt;=INDEX($B$4:$B$17,C189),1,0)</f>
        <v>1</v>
      </c>
      <c r="H189" s="120">
        <f t="shared" ca="1" si="51"/>
        <v>145.12443174075162</v>
      </c>
      <c r="I189" s="38">
        <f>IF(AND(sat_working=TRUE,E189=6),ROUNDDOWN(AVERAGE('Data for 2021'!I183:I187),0),'Data for 2021'!I188)</f>
        <v>150</v>
      </c>
      <c r="J189" s="80">
        <f t="shared" ca="1" si="47"/>
        <v>983.0886833858865</v>
      </c>
      <c r="K189" s="80">
        <f t="shared" ca="1" si="50"/>
        <v>987.96425164513494</v>
      </c>
      <c r="L189" s="55">
        <f t="shared" ca="1" si="52"/>
        <v>0</v>
      </c>
      <c r="M189" s="55">
        <f t="shared" ca="1" si="48"/>
        <v>116.21280299472738</v>
      </c>
      <c r="N189" s="55"/>
      <c r="O189" s="31"/>
      <c r="P189" s="31"/>
      <c r="Q189" s="31"/>
      <c r="R189" s="31"/>
      <c r="S189" s="31"/>
      <c r="T189" s="31"/>
      <c r="U189" s="31"/>
      <c r="V189" s="31"/>
      <c r="W189" s="31"/>
      <c r="X189" s="77"/>
      <c r="Y189" s="31"/>
      <c r="Z189" s="31"/>
      <c r="AA189" s="77"/>
      <c r="AB189" s="31"/>
      <c r="AC189" s="31"/>
      <c r="AD189" s="31"/>
      <c r="AE189" s="31"/>
      <c r="AF189" s="31"/>
      <c r="AG189" s="46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CA189" s="141"/>
      <c r="CB189" s="141"/>
      <c r="CC189" s="141"/>
      <c r="CD189" s="141"/>
    </row>
    <row r="190" spans="1:82" x14ac:dyDescent="0.2">
      <c r="A190" s="31"/>
      <c r="B190" s="67">
        <v>171</v>
      </c>
      <c r="C190" s="51">
        <v>13</v>
      </c>
      <c r="D190" s="55">
        <v>3</v>
      </c>
      <c r="E190" s="37">
        <v>3</v>
      </c>
      <c r="F190" s="37">
        <f t="shared" si="49"/>
        <v>1</v>
      </c>
      <c r="G190" s="37" cm="1">
        <f t="array" ref="G190">IF(E190&lt;=INDEX($B$4:$B$17,C190),1,0)</f>
        <v>1</v>
      </c>
      <c r="H190" s="120">
        <f t="shared" ca="1" si="51"/>
        <v>142.38899009182066</v>
      </c>
      <c r="I190" s="38">
        <f>IF(AND(sat_working=TRUE,E190=6),ROUNDDOWN(AVERAGE('Data for 2021'!I184:I188),0),'Data for 2021'!I189)</f>
        <v>177</v>
      </c>
      <c r="J190" s="80">
        <f t="shared" ca="1" si="47"/>
        <v>987.96425164513494</v>
      </c>
      <c r="K190" s="80">
        <f t="shared" ca="1" si="50"/>
        <v>1022.5752615533142</v>
      </c>
      <c r="L190" s="55">
        <f t="shared" ca="1" si="52"/>
        <v>0</v>
      </c>
      <c r="M190" s="55">
        <f t="shared" ca="1" si="48"/>
        <v>145.12443174075162</v>
      </c>
      <c r="N190" s="55"/>
      <c r="O190" s="31"/>
      <c r="P190" s="31"/>
      <c r="Q190" s="31"/>
      <c r="R190" s="31"/>
      <c r="S190" s="31"/>
      <c r="T190" s="31"/>
      <c r="U190" s="31"/>
      <c r="V190" s="31"/>
      <c r="W190" s="31"/>
      <c r="X190" s="77"/>
      <c r="Y190" s="31"/>
      <c r="Z190" s="31"/>
      <c r="AA190" s="77"/>
      <c r="AB190" s="31"/>
      <c r="AC190" s="31"/>
      <c r="AD190" s="31"/>
      <c r="AE190" s="31"/>
      <c r="AF190" s="31"/>
      <c r="AG190" s="46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CA190" s="141"/>
      <c r="CB190" s="141"/>
      <c r="CC190" s="141"/>
      <c r="CD190" s="141"/>
    </row>
    <row r="191" spans="1:82" x14ac:dyDescent="0.2">
      <c r="A191" s="31"/>
      <c r="B191" s="70">
        <v>172</v>
      </c>
      <c r="C191" s="51">
        <v>13</v>
      </c>
      <c r="D191" s="55">
        <v>4</v>
      </c>
      <c r="E191" s="37">
        <v>4</v>
      </c>
      <c r="F191" s="37">
        <f t="shared" si="49"/>
        <v>1</v>
      </c>
      <c r="G191" s="37" cm="1">
        <f t="array" ref="G191">IF(E191&lt;=INDEX($B$4:$B$17,C191),1,0)</f>
        <v>1</v>
      </c>
      <c r="H191" s="120">
        <f t="shared" ca="1" si="51"/>
        <v>138.84290199496232</v>
      </c>
      <c r="I191" s="38">
        <f>IF(AND(sat_working=TRUE,E191=6),ROUNDDOWN(AVERAGE('Data for 2021'!I185:I189),0),'Data for 2021'!I190)</f>
        <v>150</v>
      </c>
      <c r="J191" s="80">
        <f t="shared" ca="1" si="47"/>
        <v>1022.5752615533142</v>
      </c>
      <c r="K191" s="80">
        <f t="shared" ca="1" si="50"/>
        <v>1033.7323595583518</v>
      </c>
      <c r="L191" s="55">
        <f t="shared" ca="1" si="52"/>
        <v>0</v>
      </c>
      <c r="M191" s="55">
        <f t="shared" ca="1" si="48"/>
        <v>142.38899009182066</v>
      </c>
      <c r="N191" s="55"/>
      <c r="O191" s="31"/>
      <c r="P191" s="31"/>
      <c r="Q191" s="31"/>
      <c r="R191" s="31"/>
      <c r="S191" s="31"/>
      <c r="T191" s="31"/>
      <c r="U191" s="31"/>
      <c r="V191" s="31"/>
      <c r="W191" s="31"/>
      <c r="X191" s="77"/>
      <c r="Y191" s="31"/>
      <c r="Z191" s="31"/>
      <c r="AA191" s="77"/>
      <c r="AB191" s="31"/>
      <c r="AC191" s="31"/>
      <c r="AD191" s="31"/>
      <c r="AE191" s="31"/>
      <c r="AF191" s="31"/>
      <c r="AG191" s="46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CA191" s="141"/>
      <c r="CB191" s="141"/>
      <c r="CC191" s="141"/>
      <c r="CD191" s="141"/>
    </row>
    <row r="192" spans="1:82" x14ac:dyDescent="0.2">
      <c r="A192" s="31"/>
      <c r="B192" s="67">
        <v>173</v>
      </c>
      <c r="C192" s="51">
        <v>13</v>
      </c>
      <c r="D192" s="55">
        <v>5</v>
      </c>
      <c r="E192" s="37">
        <v>5</v>
      </c>
      <c r="F192" s="37">
        <f t="shared" si="49"/>
        <v>1</v>
      </c>
      <c r="G192" s="37" cm="1">
        <f t="array" ref="G192">IF(E192&lt;=INDEX($B$4:$B$17,C192),1,0)</f>
        <v>1</v>
      </c>
      <c r="H192" s="120">
        <f t="shared" ca="1" si="51"/>
        <v>153.60804044958687</v>
      </c>
      <c r="I192" s="38">
        <f>IF(AND(sat_working=TRUE,E192=6),ROUNDDOWN(AVERAGE('Data for 2021'!I186:I190),0),'Data for 2021'!I191)</f>
        <v>141</v>
      </c>
      <c r="J192" s="80">
        <f t="shared" ca="1" si="47"/>
        <v>1033.7323595583518</v>
      </c>
      <c r="K192" s="80">
        <f t="shared" ca="1" si="50"/>
        <v>1021.124319108765</v>
      </c>
      <c r="L192" s="55">
        <f t="shared" ca="1" si="52"/>
        <v>0</v>
      </c>
      <c r="M192" s="55">
        <f t="shared" ca="1" si="48"/>
        <v>138.84290199496232</v>
      </c>
      <c r="N192" s="55"/>
      <c r="O192" s="31"/>
      <c r="P192" s="31"/>
      <c r="Q192" s="31"/>
      <c r="R192" s="31"/>
      <c r="S192" s="31"/>
      <c r="T192" s="31"/>
      <c r="U192" s="31"/>
      <c r="V192" s="31"/>
      <c r="W192" s="31"/>
      <c r="X192" s="77"/>
      <c r="Y192" s="31"/>
      <c r="Z192" s="31"/>
      <c r="AA192" s="77"/>
      <c r="AB192" s="31"/>
      <c r="AC192" s="31"/>
      <c r="AD192" s="31"/>
      <c r="AE192" s="31"/>
      <c r="AF192" s="31"/>
      <c r="AG192" s="46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CA192" s="141"/>
      <c r="CB192" s="141"/>
      <c r="CC192" s="141"/>
      <c r="CD192" s="141"/>
    </row>
    <row r="193" spans="1:82" x14ac:dyDescent="0.2">
      <c r="A193" s="31"/>
      <c r="B193" s="70">
        <v>174</v>
      </c>
      <c r="C193" s="51">
        <v>13</v>
      </c>
      <c r="D193" s="55">
        <v>6</v>
      </c>
      <c r="E193" s="37">
        <v>6</v>
      </c>
      <c r="F193" s="37">
        <f t="shared" si="49"/>
        <v>1</v>
      </c>
      <c r="G193" s="37" cm="1">
        <f t="array" ref="G193">IF(E193&lt;=INDEX($B$4:$B$17,C193),1,0)</f>
        <v>1</v>
      </c>
      <c r="H193" s="120">
        <f t="shared" ca="1" si="51"/>
        <v>162.81286037931991</v>
      </c>
      <c r="I193" s="38">
        <f>IF(AND(sat_working=TRUE,E193=6),ROUNDDOWN(AVERAGE('Data for 2021'!I187:I191,'Data for 2021'!I194:I198),0),'Data for 2021'!I192)</f>
        <v>148</v>
      </c>
      <c r="J193" s="80">
        <f t="shared" ca="1" si="47"/>
        <v>1021.124319108765</v>
      </c>
      <c r="K193" s="80">
        <f t="shared" ca="1" si="50"/>
        <v>1006.3114587294452</v>
      </c>
      <c r="L193" s="55">
        <f t="shared" ca="1" si="52"/>
        <v>0</v>
      </c>
      <c r="M193" s="55">
        <f t="shared" ca="1" si="48"/>
        <v>153.60804044958687</v>
      </c>
      <c r="N193" s="55"/>
      <c r="O193" s="31"/>
      <c r="P193" s="31"/>
      <c r="Q193" s="31"/>
      <c r="R193" s="31"/>
      <c r="S193" s="31"/>
      <c r="T193" s="31"/>
      <c r="U193" s="31"/>
      <c r="V193" s="31"/>
      <c r="W193" s="31"/>
      <c r="X193" s="77"/>
      <c r="Y193" s="31"/>
      <c r="Z193" s="31"/>
      <c r="AA193" s="77"/>
      <c r="AB193" s="31"/>
      <c r="AC193" s="31"/>
      <c r="AD193" s="31"/>
      <c r="AE193" s="31"/>
      <c r="AF193" s="31"/>
      <c r="AG193" s="46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CA193" s="141"/>
      <c r="CB193" s="141"/>
      <c r="CC193" s="141"/>
      <c r="CD193" s="141"/>
    </row>
    <row r="194" spans="1:82" x14ac:dyDescent="0.2">
      <c r="A194" s="31"/>
      <c r="B194" s="67">
        <v>175</v>
      </c>
      <c r="C194" s="51">
        <v>13</v>
      </c>
      <c r="D194" s="55">
        <v>7</v>
      </c>
      <c r="E194" s="37">
        <v>7</v>
      </c>
      <c r="F194" s="37">
        <f t="shared" si="49"/>
        <v>0</v>
      </c>
      <c r="G194" s="37" cm="1">
        <f t="array" ref="G194">IF(E194&lt;=INDEX($B$4:$B$17,C194),1,0)</f>
        <v>0</v>
      </c>
      <c r="H194" s="120">
        <f t="shared" ca="1" si="51"/>
        <v>0</v>
      </c>
      <c r="I194" s="38">
        <f>IF(AND(sat_working=TRUE,E194=6),ROUNDDOWN(AVERAGE('Data for 2021'!I188:I192),0),'Data for 2021'!I193)</f>
        <v>0</v>
      </c>
      <c r="J194" s="80">
        <f t="shared" ca="1" si="47"/>
        <v>1006.3114587294452</v>
      </c>
      <c r="K194" s="80">
        <f t="shared" ca="1" si="50"/>
        <v>1006.3114587294452</v>
      </c>
      <c r="L194" s="55">
        <f t="shared" ca="1" si="52"/>
        <v>0</v>
      </c>
      <c r="M194" s="55">
        <f t="shared" ca="1" si="48"/>
        <v>162.81286037931991</v>
      </c>
      <c r="N194" s="55"/>
      <c r="O194" s="31"/>
      <c r="P194" s="31"/>
      <c r="Q194" s="31"/>
      <c r="R194" s="31"/>
      <c r="S194" s="31"/>
      <c r="T194" s="31"/>
      <c r="U194" s="31"/>
      <c r="V194" s="31"/>
      <c r="W194" s="31"/>
      <c r="X194" s="77"/>
      <c r="Y194" s="31"/>
      <c r="Z194" s="31"/>
      <c r="AA194" s="77"/>
      <c r="AB194" s="31"/>
      <c r="AC194" s="31"/>
      <c r="AD194" s="31"/>
      <c r="AE194" s="31"/>
      <c r="AF194" s="31"/>
      <c r="AG194" s="46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CA194" s="141"/>
      <c r="CB194" s="141"/>
      <c r="CC194" s="141"/>
      <c r="CD194" s="141"/>
    </row>
    <row r="195" spans="1:82" x14ac:dyDescent="0.2">
      <c r="A195" s="31"/>
      <c r="B195" s="70">
        <v>176</v>
      </c>
      <c r="C195" s="51">
        <v>13</v>
      </c>
      <c r="D195" s="55">
        <v>8</v>
      </c>
      <c r="E195" s="35">
        <v>1</v>
      </c>
      <c r="F195" s="35">
        <f t="shared" si="49"/>
        <v>1</v>
      </c>
      <c r="G195" s="37" cm="1">
        <f t="array" ref="G195">IF(E195&lt;=INDEX($B$4:$B$17,C195),1,0)</f>
        <v>1</v>
      </c>
      <c r="H195" s="120">
        <f t="shared" ca="1" si="51"/>
        <v>149.31311794906711</v>
      </c>
      <c r="I195" s="38">
        <f>IF(AND(sat_working=TRUE,E195=6),ROUNDDOWN(AVERAGE('Data for 2021'!I189:I193),0),'Data for 2021'!I194)</f>
        <v>143</v>
      </c>
      <c r="J195" s="80">
        <f t="shared" ca="1" si="47"/>
        <v>1006.3114587294452</v>
      </c>
      <c r="K195" s="80">
        <f t="shared" ca="1" si="50"/>
        <v>999.99834078037827</v>
      </c>
      <c r="L195" s="55">
        <f t="shared" ca="1" si="52"/>
        <v>0</v>
      </c>
      <c r="M195" s="55" t="str">
        <f t="shared" ca="1" si="48"/>
        <v/>
      </c>
      <c r="N195" s="55"/>
      <c r="O195" s="31"/>
      <c r="P195" s="31"/>
      <c r="Q195" s="31"/>
      <c r="R195" s="31"/>
      <c r="S195" s="31"/>
      <c r="T195" s="31"/>
      <c r="U195" s="31"/>
      <c r="V195" s="31"/>
      <c r="W195" s="31"/>
      <c r="X195" s="77"/>
      <c r="Y195" s="31"/>
      <c r="Z195" s="31"/>
      <c r="AA195" s="77"/>
      <c r="AB195" s="31"/>
      <c r="AC195" s="31"/>
      <c r="AD195" s="31"/>
      <c r="AE195" s="31"/>
      <c r="AF195" s="31"/>
      <c r="AG195" s="46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CA195" s="141"/>
      <c r="CB195" s="141"/>
      <c r="CC195" s="141"/>
      <c r="CD195" s="141"/>
    </row>
    <row r="196" spans="1:82" x14ac:dyDescent="0.2">
      <c r="A196" s="31"/>
      <c r="B196" s="67">
        <v>177</v>
      </c>
      <c r="C196" s="51">
        <v>13</v>
      </c>
      <c r="D196" s="55">
        <v>9</v>
      </c>
      <c r="E196" s="37">
        <v>2</v>
      </c>
      <c r="F196" s="37">
        <f t="shared" si="49"/>
        <v>1</v>
      </c>
      <c r="G196" s="37" cm="1">
        <f t="array" ref="G196">IF(E196&lt;=INDEX($B$4:$B$17,C196),1,0)</f>
        <v>1</v>
      </c>
      <c r="H196" s="120">
        <f t="shared" ca="1" si="51"/>
        <v>113.58766759160838</v>
      </c>
      <c r="I196" s="38">
        <f>IF(AND(sat_working=TRUE,E196=6),ROUNDDOWN(AVERAGE('Data for 2021'!I190:I194),0),'Data for 2021'!I195)</f>
        <v>158</v>
      </c>
      <c r="J196" s="80">
        <f t="shared" ca="1" si="47"/>
        <v>999.99834078037827</v>
      </c>
      <c r="K196" s="80">
        <f t="shared" ca="1" si="50"/>
        <v>1044.41067318877</v>
      </c>
      <c r="L196" s="55">
        <f t="shared" ca="1" si="52"/>
        <v>0</v>
      </c>
      <c r="M196" s="55">
        <f t="shared" ca="1" si="48"/>
        <v>149.31311794906711</v>
      </c>
      <c r="N196" s="55"/>
      <c r="O196" s="31"/>
      <c r="P196" s="31"/>
      <c r="Q196" s="31"/>
      <c r="R196" s="31"/>
      <c r="S196" s="31"/>
      <c r="T196" s="31"/>
      <c r="U196" s="31"/>
      <c r="V196" s="31"/>
      <c r="W196" s="31"/>
      <c r="X196" s="77"/>
      <c r="Y196" s="31"/>
      <c r="Z196" s="31"/>
      <c r="AA196" s="77"/>
      <c r="AB196" s="31"/>
      <c r="AC196" s="31"/>
      <c r="AD196" s="31"/>
      <c r="AE196" s="31"/>
      <c r="AF196" s="31"/>
      <c r="AG196" s="46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CA196" s="141"/>
      <c r="CB196" s="141"/>
      <c r="CC196" s="141"/>
      <c r="CD196" s="141"/>
    </row>
    <row r="197" spans="1:82" x14ac:dyDescent="0.2">
      <c r="A197" s="31"/>
      <c r="B197" s="70">
        <v>178</v>
      </c>
      <c r="C197" s="51">
        <v>13</v>
      </c>
      <c r="D197" s="55">
        <v>10</v>
      </c>
      <c r="E197" s="37">
        <v>3</v>
      </c>
      <c r="F197" s="37">
        <f t="shared" si="49"/>
        <v>1</v>
      </c>
      <c r="G197" s="37" cm="1">
        <f t="array" ref="G197">IF(E197&lt;=INDEX($B$4:$B$17,C197),1,0)</f>
        <v>1</v>
      </c>
      <c r="H197" s="120">
        <f t="shared" ca="1" si="51"/>
        <v>167.67978528578226</v>
      </c>
      <c r="I197" s="38">
        <f>IF(AND(sat_working=TRUE,E197=6),ROUNDDOWN(AVERAGE('Data for 2021'!I191:I195),0),'Data for 2021'!I196)</f>
        <v>163</v>
      </c>
      <c r="J197" s="80">
        <f t="shared" ca="1" si="47"/>
        <v>1044.41067318877</v>
      </c>
      <c r="K197" s="80">
        <f t="shared" ca="1" si="50"/>
        <v>1039.7308879029879</v>
      </c>
      <c r="L197" s="55">
        <f t="shared" ca="1" si="52"/>
        <v>0</v>
      </c>
      <c r="M197" s="55">
        <f t="shared" ca="1" si="48"/>
        <v>113.58766759160838</v>
      </c>
      <c r="N197" s="55"/>
      <c r="O197" s="31"/>
      <c r="P197" s="31"/>
      <c r="Q197" s="31"/>
      <c r="R197" s="31"/>
      <c r="S197" s="31"/>
      <c r="T197" s="31"/>
      <c r="U197" s="31"/>
      <c r="V197" s="31"/>
      <c r="W197" s="31"/>
      <c r="X197" s="77"/>
      <c r="Y197" s="31"/>
      <c r="Z197" s="31"/>
      <c r="AA197" s="77"/>
      <c r="AB197" s="31"/>
      <c r="AC197" s="31"/>
      <c r="AD197" s="31"/>
      <c r="AE197" s="31"/>
      <c r="AF197" s="31"/>
      <c r="AG197" s="46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CA197" s="141"/>
      <c r="CB197" s="141"/>
      <c r="CC197" s="141"/>
      <c r="CD197" s="141"/>
    </row>
    <row r="198" spans="1:82" x14ac:dyDescent="0.2">
      <c r="A198" s="31"/>
      <c r="B198" s="67">
        <v>179</v>
      </c>
      <c r="C198" s="51">
        <v>13</v>
      </c>
      <c r="D198" s="55">
        <v>11</v>
      </c>
      <c r="E198" s="37">
        <v>4</v>
      </c>
      <c r="F198" s="37">
        <f t="shared" si="49"/>
        <v>1</v>
      </c>
      <c r="G198" s="37" cm="1">
        <f t="array" ref="G198">IF(E198&lt;=INDEX($B$4:$B$17,C198),1,0)</f>
        <v>1</v>
      </c>
      <c r="H198" s="120">
        <f t="shared" ca="1" si="51"/>
        <v>166.10590203328343</v>
      </c>
      <c r="I198" s="38">
        <f>IF(AND(sat_working=TRUE,E198=6),ROUNDDOWN(AVERAGE('Data for 2021'!I192:I196),0),'Data for 2021'!I197)</f>
        <v>128</v>
      </c>
      <c r="J198" s="80">
        <f t="shared" ca="1" si="47"/>
        <v>1039.7308879029879</v>
      </c>
      <c r="K198" s="80">
        <f t="shared" ca="1" si="50"/>
        <v>1001.6249858697045</v>
      </c>
      <c r="L198" s="55">
        <f t="shared" ca="1" si="52"/>
        <v>0</v>
      </c>
      <c r="M198" s="55">
        <f t="shared" ca="1" si="48"/>
        <v>167.67978528578226</v>
      </c>
      <c r="N198" s="55"/>
      <c r="O198" s="31"/>
      <c r="P198" s="31"/>
      <c r="Q198" s="31"/>
      <c r="R198" s="31"/>
      <c r="S198" s="31"/>
      <c r="T198" s="31"/>
      <c r="U198" s="31"/>
      <c r="V198" s="31"/>
      <c r="W198" s="31"/>
      <c r="X198" s="77"/>
      <c r="Y198" s="31"/>
      <c r="Z198" s="31"/>
      <c r="AA198" s="77"/>
      <c r="AB198" s="31"/>
      <c r="AC198" s="31"/>
      <c r="AD198" s="31"/>
      <c r="AE198" s="31"/>
      <c r="AF198" s="31"/>
      <c r="AG198" s="46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CA198" s="141"/>
      <c r="CB198" s="141"/>
      <c r="CC198" s="141"/>
      <c r="CD198" s="141"/>
    </row>
    <row r="199" spans="1:82" x14ac:dyDescent="0.2">
      <c r="A199" s="31"/>
      <c r="B199" s="70">
        <v>180</v>
      </c>
      <c r="C199" s="51">
        <v>13</v>
      </c>
      <c r="D199" s="55">
        <v>12</v>
      </c>
      <c r="E199" s="37">
        <v>5</v>
      </c>
      <c r="F199" s="37">
        <f t="shared" si="49"/>
        <v>1</v>
      </c>
      <c r="G199" s="37" cm="1">
        <f t="array" ref="G199">IF(E199&lt;=INDEX($B$4:$B$17,C199),1,0)</f>
        <v>1</v>
      </c>
      <c r="H199" s="120">
        <f t="shared" ca="1" si="51"/>
        <v>168.13491395096497</v>
      </c>
      <c r="I199" s="38">
        <f>IF(AND(sat_working=TRUE,E199=6),ROUNDDOWN(AVERAGE('Data for 2021'!I193:I197),0),'Data for 2021'!I198)</f>
        <v>129</v>
      </c>
      <c r="J199" s="80">
        <f t="shared" ca="1" si="47"/>
        <v>1001.6249858697045</v>
      </c>
      <c r="K199" s="80">
        <f t="shared" ca="1" si="50"/>
        <v>962.49007191873943</v>
      </c>
      <c r="L199" s="55">
        <f t="shared" ca="1" si="52"/>
        <v>0</v>
      </c>
      <c r="M199" s="55">
        <f t="shared" ca="1" si="48"/>
        <v>166.10590203328343</v>
      </c>
      <c r="N199" s="55"/>
      <c r="O199" s="31"/>
      <c r="P199" s="31"/>
      <c r="Q199" s="31"/>
      <c r="R199" s="31"/>
      <c r="S199" s="31"/>
      <c r="T199" s="31"/>
      <c r="U199" s="31"/>
      <c r="V199" s="31"/>
      <c r="W199" s="31"/>
      <c r="X199" s="77"/>
      <c r="Y199" s="31"/>
      <c r="Z199" s="31"/>
      <c r="AA199" s="77"/>
      <c r="AB199" s="31"/>
      <c r="AC199" s="31"/>
      <c r="AD199" s="31"/>
      <c r="AE199" s="31"/>
      <c r="AF199" s="31"/>
      <c r="AG199" s="46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CA199" s="141"/>
      <c r="CB199" s="141"/>
      <c r="CC199" s="141"/>
      <c r="CD199" s="141"/>
    </row>
    <row r="200" spans="1:82" x14ac:dyDescent="0.2">
      <c r="A200" s="31"/>
      <c r="B200" s="67">
        <v>181</v>
      </c>
      <c r="C200" s="51">
        <v>13</v>
      </c>
      <c r="D200" s="55">
        <v>13</v>
      </c>
      <c r="E200" s="37">
        <v>6</v>
      </c>
      <c r="F200" s="37">
        <f t="shared" si="49"/>
        <v>1</v>
      </c>
      <c r="G200" s="37" cm="1">
        <f t="array" ref="G200">IF(E200&lt;=INDEX($B$4:$B$17,C200),1,0)</f>
        <v>1</v>
      </c>
      <c r="H200" s="120">
        <f t="shared" ca="1" si="51"/>
        <v>139.65343540758084</v>
      </c>
      <c r="I200" s="38">
        <f>I193</f>
        <v>148</v>
      </c>
      <c r="J200" s="80">
        <f t="shared" ca="1" si="47"/>
        <v>962.49007191873943</v>
      </c>
      <c r="K200" s="80">
        <f t="shared" ca="1" si="50"/>
        <v>970.83663651115853</v>
      </c>
      <c r="L200" s="55">
        <f t="shared" ca="1" si="52"/>
        <v>0</v>
      </c>
      <c r="M200" s="55">
        <f t="shared" ca="1" si="48"/>
        <v>168.13491395096497</v>
      </c>
      <c r="N200" s="55"/>
      <c r="O200" s="31"/>
      <c r="P200" s="31"/>
      <c r="Q200" s="31"/>
      <c r="R200" s="31"/>
      <c r="S200" s="31"/>
      <c r="T200" s="31"/>
      <c r="U200" s="31"/>
      <c r="V200" s="31"/>
      <c r="W200" s="31"/>
      <c r="X200" s="77"/>
      <c r="Y200" s="31"/>
      <c r="Z200" s="31"/>
      <c r="AA200" s="77"/>
      <c r="AB200" s="31"/>
      <c r="AC200" s="31"/>
      <c r="AD200" s="31"/>
      <c r="AE200" s="31"/>
      <c r="AF200" s="31"/>
      <c r="AG200" s="46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CA200" s="141"/>
      <c r="CB200" s="141"/>
      <c r="CC200" s="141"/>
      <c r="CD200" s="141"/>
    </row>
    <row r="201" spans="1:82" x14ac:dyDescent="0.2">
      <c r="A201" s="31"/>
      <c r="B201" s="70">
        <v>182</v>
      </c>
      <c r="C201" s="52">
        <v>13</v>
      </c>
      <c r="D201" s="57">
        <v>14</v>
      </c>
      <c r="E201" s="37">
        <v>7</v>
      </c>
      <c r="F201" s="37">
        <f t="shared" si="49"/>
        <v>0</v>
      </c>
      <c r="G201" s="37" cm="1">
        <f t="array" ref="G201">IF(E201&lt;=INDEX($B$4:$B$17,C201),1,0)</f>
        <v>0</v>
      </c>
      <c r="H201" s="120">
        <f t="shared" ca="1" si="51"/>
        <v>0</v>
      </c>
      <c r="I201" s="38">
        <f>IF(AND(sat_working=TRUE,E201=6),ROUNDDOWN(AVERAGE('Data for 2021'!I195:I199),0),'Data for 2021'!I200)</f>
        <v>0</v>
      </c>
      <c r="J201" s="80">
        <f t="shared" ca="1" si="47"/>
        <v>970.83663651115853</v>
      </c>
      <c r="K201" s="80">
        <f t="shared" ca="1" si="50"/>
        <v>970.83663651115853</v>
      </c>
      <c r="L201" s="55">
        <f t="shared" ca="1" si="52"/>
        <v>0</v>
      </c>
      <c r="M201" s="55">
        <f t="shared" ca="1" si="48"/>
        <v>139.65343540758084</v>
      </c>
      <c r="N201" s="55"/>
      <c r="O201" s="31"/>
      <c r="P201" s="31"/>
      <c r="Q201" s="31"/>
      <c r="R201" s="31"/>
      <c r="S201" s="31"/>
      <c r="T201" s="31"/>
      <c r="U201" s="31"/>
      <c r="V201" s="31"/>
      <c r="W201" s="31"/>
      <c r="X201" s="77"/>
      <c r="Y201" s="31"/>
      <c r="Z201" s="31"/>
      <c r="AA201" s="77"/>
      <c r="AB201" s="31"/>
      <c r="AC201" s="31"/>
      <c r="AD201" s="31"/>
      <c r="AE201" s="31"/>
      <c r="AF201" s="31"/>
      <c r="AG201" s="46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CA201" s="141"/>
      <c r="CB201" s="141"/>
      <c r="CC201" s="141"/>
      <c r="CD201" s="141"/>
    </row>
    <row r="202" spans="1:82" x14ac:dyDescent="0.2">
      <c r="A202" s="31" t="s">
        <v>74</v>
      </c>
      <c r="B202" s="67">
        <v>183</v>
      </c>
      <c r="C202" s="50">
        <v>14</v>
      </c>
      <c r="D202" s="53">
        <v>1</v>
      </c>
      <c r="E202" s="35">
        <v>1</v>
      </c>
      <c r="F202" s="35">
        <f t="shared" si="49"/>
        <v>1</v>
      </c>
      <c r="G202" s="35" cm="1">
        <f t="array" ref="G202">IF(E202&lt;=INDEX($B$4:$B$17,C202),1,0)</f>
        <v>1</v>
      </c>
      <c r="H202" s="120">
        <f t="shared" ca="1" si="51"/>
        <v>156.18705949716679</v>
      </c>
      <c r="I202" s="38">
        <f>IF(AND(sat_working=TRUE,E202=6),ROUNDDOWN(AVERAGE('Data for 2021'!I196:I200),0),'Data for 2021'!I201)</f>
        <v>140</v>
      </c>
      <c r="J202" s="80">
        <f t="shared" ca="1" si="47"/>
        <v>970.83663651115853</v>
      </c>
      <c r="K202" s="80">
        <f t="shared" ca="1" si="50"/>
        <v>954.6495770139918</v>
      </c>
      <c r="L202" s="55">
        <f t="shared" ca="1" si="52"/>
        <v>0</v>
      </c>
      <c r="M202" s="55" t="str">
        <f t="shared" ca="1" si="48"/>
        <v/>
      </c>
      <c r="N202" s="55"/>
      <c r="O202" s="31"/>
      <c r="P202" s="31"/>
      <c r="Q202" s="31"/>
      <c r="R202" s="31"/>
      <c r="S202" s="31"/>
      <c r="T202" s="31"/>
      <c r="U202" s="31"/>
      <c r="V202" s="31"/>
      <c r="W202" s="31"/>
      <c r="X202" s="77"/>
      <c r="Y202" s="31"/>
      <c r="Z202" s="31"/>
      <c r="AA202" s="77"/>
      <c r="AB202" s="31"/>
      <c r="AC202" s="31"/>
      <c r="AD202" s="31"/>
      <c r="AE202" s="31"/>
      <c r="AF202" s="31"/>
      <c r="AG202" s="46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CA202" s="141"/>
      <c r="CB202" s="141"/>
      <c r="CC202" s="141"/>
      <c r="CD202" s="141"/>
    </row>
    <row r="203" spans="1:82" x14ac:dyDescent="0.2">
      <c r="A203" s="31"/>
      <c r="B203" s="70">
        <v>184</v>
      </c>
      <c r="C203" s="51">
        <v>14</v>
      </c>
      <c r="D203" s="55">
        <v>2</v>
      </c>
      <c r="E203" s="37">
        <v>2</v>
      </c>
      <c r="F203" s="37">
        <f t="shared" si="49"/>
        <v>1</v>
      </c>
      <c r="G203" s="37" cm="1">
        <f t="array" ref="G203">IF(E203&lt;=INDEX($B$4:$B$17,C203),1,0)</f>
        <v>1</v>
      </c>
      <c r="H203" s="120">
        <f t="shared" ca="1" si="51"/>
        <v>166.76713533026114</v>
      </c>
      <c r="I203" s="38">
        <f>IF(AND(sat_working=TRUE,E203=6),ROUNDDOWN(AVERAGE('Data for 2021'!I197:I201),0),'Data for 2021'!I202)</f>
        <v>150</v>
      </c>
      <c r="J203" s="80">
        <f t="shared" ca="1" si="47"/>
        <v>954.6495770139918</v>
      </c>
      <c r="K203" s="80">
        <f t="shared" ca="1" si="50"/>
        <v>937.88244168373069</v>
      </c>
      <c r="L203" s="55">
        <f t="shared" ca="1" si="52"/>
        <v>0</v>
      </c>
      <c r="M203" s="55">
        <f t="shared" ca="1" si="48"/>
        <v>156.18705949716679</v>
      </c>
      <c r="N203" s="55"/>
      <c r="O203" s="31"/>
      <c r="P203" s="31"/>
      <c r="Q203" s="31"/>
      <c r="R203" s="31"/>
      <c r="S203" s="31"/>
      <c r="T203" s="31"/>
      <c r="U203" s="31"/>
      <c r="V203" s="31"/>
      <c r="W203" s="31"/>
      <c r="X203" s="77"/>
      <c r="Y203" s="31"/>
      <c r="Z203" s="31"/>
      <c r="AA203" s="77"/>
      <c r="AB203" s="31"/>
      <c r="AC203" s="31"/>
      <c r="AD203" s="31"/>
      <c r="AE203" s="31"/>
      <c r="AF203" s="31"/>
      <c r="AG203" s="46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CA203" s="141"/>
      <c r="CB203" s="141"/>
      <c r="CC203" s="141"/>
      <c r="CD203" s="141"/>
    </row>
    <row r="204" spans="1:82" x14ac:dyDescent="0.2">
      <c r="A204" s="31"/>
      <c r="B204" s="67">
        <v>185</v>
      </c>
      <c r="C204" s="51">
        <v>14</v>
      </c>
      <c r="D204" s="55">
        <v>3</v>
      </c>
      <c r="E204" s="37">
        <v>3</v>
      </c>
      <c r="F204" s="37">
        <f t="shared" si="49"/>
        <v>1</v>
      </c>
      <c r="G204" s="37" cm="1">
        <f t="array" ref="G204">IF(E204&lt;=INDEX($B$4:$B$17,C204),1,0)</f>
        <v>1</v>
      </c>
      <c r="H204" s="120">
        <f t="shared" ca="1" si="51"/>
        <v>163.39077937602283</v>
      </c>
      <c r="I204" s="38">
        <f>IF(AND(sat_working=TRUE,E204=6),ROUNDDOWN(AVERAGE('Data for 2021'!I198:I202),0),'Data for 2021'!I203)</f>
        <v>171</v>
      </c>
      <c r="J204" s="80">
        <f t="shared" ca="1" si="47"/>
        <v>937.88244168373069</v>
      </c>
      <c r="K204" s="80">
        <f t="shared" ca="1" si="50"/>
        <v>945.49166230770777</v>
      </c>
      <c r="L204" s="55">
        <f t="shared" ca="1" si="52"/>
        <v>0</v>
      </c>
      <c r="M204" s="55">
        <f t="shared" ca="1" si="48"/>
        <v>166.76713533026114</v>
      </c>
      <c r="N204" s="55"/>
      <c r="O204" s="31"/>
      <c r="P204" s="31"/>
      <c r="Q204" s="31"/>
      <c r="R204" s="31"/>
      <c r="S204" s="31"/>
      <c r="T204" s="31"/>
      <c r="U204" s="31"/>
      <c r="V204" s="31"/>
      <c r="W204" s="31"/>
      <c r="X204" s="77"/>
      <c r="Y204" s="31"/>
      <c r="Z204" s="31"/>
      <c r="AA204" s="77"/>
      <c r="AB204" s="31"/>
      <c r="AC204" s="31"/>
      <c r="AD204" s="31"/>
      <c r="AE204" s="31"/>
      <c r="AF204" s="31"/>
      <c r="AG204" s="46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CA204" s="141"/>
      <c r="CB204" s="141"/>
      <c r="CC204" s="141"/>
      <c r="CD204" s="141"/>
    </row>
    <row r="205" spans="1:82" x14ac:dyDescent="0.2">
      <c r="A205" s="31"/>
      <c r="B205" s="70">
        <v>186</v>
      </c>
      <c r="C205" s="51">
        <v>14</v>
      </c>
      <c r="D205" s="55">
        <v>4</v>
      </c>
      <c r="E205" s="37">
        <v>4</v>
      </c>
      <c r="F205" s="37">
        <f t="shared" si="49"/>
        <v>1</v>
      </c>
      <c r="G205" s="37" cm="1">
        <f t="array" ref="G205">IF(E205&lt;=INDEX($B$4:$B$17,C205),1,0)</f>
        <v>1</v>
      </c>
      <c r="H205" s="120">
        <f t="shared" ca="1" si="51"/>
        <v>108.12259791567453</v>
      </c>
      <c r="I205" s="38">
        <f>IF(AND(sat_working=TRUE,E205=6),ROUNDDOWN(AVERAGE('Data for 2021'!I199:I203),0),'Data for 2021'!I204)</f>
        <v>127</v>
      </c>
      <c r="J205" s="80">
        <f t="shared" ca="1" si="47"/>
        <v>945.49166230770777</v>
      </c>
      <c r="K205" s="80">
        <f t="shared" ca="1" si="50"/>
        <v>964.36906439203335</v>
      </c>
      <c r="L205" s="55">
        <f t="shared" ca="1" si="52"/>
        <v>0</v>
      </c>
      <c r="M205" s="55">
        <f t="shared" ca="1" si="48"/>
        <v>163.39077937602283</v>
      </c>
      <c r="N205" s="55"/>
      <c r="O205" s="31"/>
      <c r="P205" s="31"/>
      <c r="Q205" s="31"/>
      <c r="R205" s="31"/>
      <c r="S205" s="31"/>
      <c r="T205" s="31"/>
      <c r="U205" s="31"/>
      <c r="V205" s="31"/>
      <c r="W205" s="31"/>
      <c r="X205" s="77"/>
      <c r="Y205" s="31"/>
      <c r="Z205" s="31"/>
      <c r="AA205" s="77"/>
      <c r="AB205" s="31"/>
      <c r="AC205" s="31"/>
      <c r="AD205" s="31"/>
      <c r="AE205" s="31"/>
      <c r="AF205" s="31"/>
      <c r="AG205" s="46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CA205" s="141"/>
      <c r="CB205" s="141"/>
      <c r="CC205" s="141"/>
      <c r="CD205" s="141"/>
    </row>
    <row r="206" spans="1:82" x14ac:dyDescent="0.2">
      <c r="A206" s="31"/>
      <c r="B206" s="67">
        <v>187</v>
      </c>
      <c r="C206" s="51">
        <v>14</v>
      </c>
      <c r="D206" s="55">
        <v>5</v>
      </c>
      <c r="E206" s="37">
        <v>5</v>
      </c>
      <c r="F206" s="37">
        <f t="shared" si="49"/>
        <v>1</v>
      </c>
      <c r="G206" s="37" cm="1">
        <f t="array" ref="G206">IF(E206&lt;=INDEX($B$4:$B$17,C206),1,0)</f>
        <v>1</v>
      </c>
      <c r="H206" s="120">
        <f t="shared" ca="1" si="51"/>
        <v>161.58479189145174</v>
      </c>
      <c r="I206" s="38">
        <f>IF(AND(sat_working=TRUE,E206=6),ROUNDDOWN(AVERAGE('Data for 2021'!I200:I204),0),'Data for 2021'!I205)</f>
        <v>98</v>
      </c>
      <c r="J206" s="80">
        <f t="shared" ca="1" si="47"/>
        <v>964.36906439203335</v>
      </c>
      <c r="K206" s="80">
        <f t="shared" ca="1" si="50"/>
        <v>900.78427250058166</v>
      </c>
      <c r="L206" s="55">
        <f t="shared" ca="1" si="52"/>
        <v>0</v>
      </c>
      <c r="M206" s="55">
        <f t="shared" ca="1" si="48"/>
        <v>108.12259791567453</v>
      </c>
      <c r="N206" s="55"/>
      <c r="O206" s="31"/>
      <c r="P206" s="31"/>
      <c r="Q206" s="31"/>
      <c r="R206" s="31"/>
      <c r="S206" s="31"/>
      <c r="T206" s="31"/>
      <c r="U206" s="31"/>
      <c r="V206" s="31"/>
      <c r="W206" s="31"/>
      <c r="X206" s="77"/>
      <c r="Y206" s="31"/>
      <c r="Z206" s="31"/>
      <c r="AA206" s="77"/>
      <c r="AB206" s="31"/>
      <c r="AC206" s="31"/>
      <c r="AD206" s="31"/>
      <c r="AE206" s="31"/>
      <c r="AF206" s="31"/>
      <c r="AG206" s="46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CA206" s="141"/>
      <c r="CB206" s="141"/>
      <c r="CC206" s="141"/>
      <c r="CD206" s="141"/>
    </row>
    <row r="207" spans="1:82" x14ac:dyDescent="0.2">
      <c r="A207" s="31"/>
      <c r="B207" s="70">
        <v>188</v>
      </c>
      <c r="C207" s="51">
        <v>14</v>
      </c>
      <c r="D207" s="55">
        <v>6</v>
      </c>
      <c r="E207" s="37">
        <v>6</v>
      </c>
      <c r="F207" s="37">
        <f t="shared" si="49"/>
        <v>1</v>
      </c>
      <c r="G207" s="37" cm="1">
        <f t="array" ref="G207">IF(E207&lt;=INDEX($B$4:$B$17,C207),1,0)</f>
        <v>0</v>
      </c>
      <c r="H207" s="120">
        <f t="shared" ca="1" si="51"/>
        <v>0</v>
      </c>
      <c r="I207" s="38">
        <f>IF(AND(sat_working=TRUE,E207=6),ROUNDDOWN(AVERAGE('Data for 2021'!I201:I205,'Data for 2021'!I208:I211),0),'Data for 2021'!I206)</f>
        <v>143</v>
      </c>
      <c r="J207" s="80">
        <f t="shared" ca="1" si="47"/>
        <v>900.78427250058166</v>
      </c>
      <c r="K207" s="80">
        <f t="shared" ca="1" si="50"/>
        <v>1043.7842725005817</v>
      </c>
      <c r="L207" s="55">
        <f t="shared" ca="1" si="52"/>
        <v>0</v>
      </c>
      <c r="M207" s="55">
        <f t="shared" ca="1" si="48"/>
        <v>161.58479189145174</v>
      </c>
      <c r="N207" s="55"/>
      <c r="O207" s="31"/>
      <c r="P207" s="31"/>
      <c r="Q207" s="31"/>
      <c r="R207" s="31"/>
      <c r="S207" s="31"/>
      <c r="T207" s="31"/>
      <c r="U207" s="31"/>
      <c r="V207" s="31"/>
      <c r="W207" s="31"/>
      <c r="X207" s="77"/>
      <c r="Y207" s="31"/>
      <c r="Z207" s="31"/>
      <c r="AA207" s="77"/>
      <c r="AB207" s="31"/>
      <c r="AC207" s="31"/>
      <c r="AD207" s="31"/>
      <c r="AE207" s="31"/>
      <c r="AF207" s="31"/>
      <c r="AG207" s="46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CA207" s="141"/>
      <c r="CB207" s="141"/>
      <c r="CC207" s="141"/>
      <c r="CD207" s="141"/>
    </row>
    <row r="208" spans="1:82" x14ac:dyDescent="0.2">
      <c r="A208" s="31"/>
      <c r="B208" s="67">
        <v>189</v>
      </c>
      <c r="C208" s="51">
        <v>14</v>
      </c>
      <c r="D208" s="55">
        <v>7</v>
      </c>
      <c r="E208" s="37">
        <v>7</v>
      </c>
      <c r="F208" s="37">
        <f t="shared" si="49"/>
        <v>0</v>
      </c>
      <c r="G208" s="37" cm="1">
        <f t="array" ref="G208">IF(E208&lt;=INDEX($B$4:$B$17,C208),1,0)</f>
        <v>0</v>
      </c>
      <c r="H208" s="120">
        <f t="shared" ca="1" si="51"/>
        <v>0</v>
      </c>
      <c r="I208" s="38">
        <f>IF(AND(sat_working=TRUE,E208=6),ROUNDDOWN(AVERAGE('Data for 2021'!I202:I206),0),'Data for 2021'!I207)</f>
        <v>0</v>
      </c>
      <c r="J208" s="80">
        <f t="shared" ca="1" si="47"/>
        <v>1043.7842725005817</v>
      </c>
      <c r="K208" s="80">
        <f t="shared" ca="1" si="50"/>
        <v>1043.7842725005817</v>
      </c>
      <c r="L208" s="55">
        <f t="shared" ca="1" si="52"/>
        <v>0</v>
      </c>
      <c r="M208" s="55" t="str">
        <f t="shared" ca="1" si="48"/>
        <v/>
      </c>
      <c r="N208" s="55"/>
      <c r="O208" s="31"/>
      <c r="P208" s="31"/>
      <c r="Q208" s="31"/>
      <c r="R208" s="31"/>
      <c r="S208" s="31"/>
      <c r="T208" s="31"/>
      <c r="U208" s="31"/>
      <c r="V208" s="31"/>
      <c r="W208" s="31"/>
      <c r="X208" s="77"/>
      <c r="Y208" s="31"/>
      <c r="Z208" s="31"/>
      <c r="AA208" s="77"/>
      <c r="AB208" s="31"/>
      <c r="AC208" s="31"/>
      <c r="AD208" s="31"/>
      <c r="AE208" s="31"/>
      <c r="AF208" s="31"/>
      <c r="AG208" s="46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CA208" s="141"/>
      <c r="CB208" s="141"/>
      <c r="CC208" s="141"/>
      <c r="CD208" s="141"/>
    </row>
    <row r="209" spans="1:82" x14ac:dyDescent="0.2">
      <c r="A209" s="31"/>
      <c r="B209" s="70">
        <v>190</v>
      </c>
      <c r="C209" s="51">
        <v>14</v>
      </c>
      <c r="D209" s="55">
        <v>8</v>
      </c>
      <c r="E209" s="35">
        <v>1</v>
      </c>
      <c r="F209" s="35">
        <f t="shared" si="49"/>
        <v>1</v>
      </c>
      <c r="G209" s="37" cm="1">
        <f t="array" ref="G209">IF(E209&lt;=INDEX($B$4:$B$17,C209),1,0)</f>
        <v>1</v>
      </c>
      <c r="H209" s="120">
        <f t="shared" ca="1" si="51"/>
        <v>135.83880421123317</v>
      </c>
      <c r="I209" s="38">
        <f>IF(AND(sat_working=TRUE,E209=6),ROUNDDOWN(AVERAGE('Data for 2021'!I203:I207),0),'Data for 2021'!I208)</f>
        <v>133</v>
      </c>
      <c r="J209" s="80">
        <f t="shared" ca="1" si="47"/>
        <v>1043.7842725005817</v>
      </c>
      <c r="K209" s="80">
        <f t="shared" ca="1" si="50"/>
        <v>1040.9454682893486</v>
      </c>
      <c r="L209" s="55">
        <f t="shared" ca="1" si="52"/>
        <v>0</v>
      </c>
      <c r="M209" s="55" t="str">
        <f t="shared" ca="1" si="48"/>
        <v/>
      </c>
      <c r="N209" s="55"/>
      <c r="O209" s="31"/>
      <c r="P209" s="31"/>
      <c r="Q209" s="31"/>
      <c r="R209" s="31"/>
      <c r="S209" s="31"/>
      <c r="T209" s="31"/>
      <c r="U209" s="31"/>
      <c r="V209" s="31"/>
      <c r="W209" s="31"/>
      <c r="X209" s="77"/>
      <c r="Y209" s="31"/>
      <c r="Z209" s="31"/>
      <c r="AA209" s="77"/>
      <c r="AB209" s="31"/>
      <c r="AC209" s="31"/>
      <c r="AD209" s="31"/>
      <c r="AE209" s="31"/>
      <c r="AF209" s="31"/>
      <c r="AG209" s="46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CA209" s="141"/>
      <c r="CB209" s="141"/>
      <c r="CC209" s="141"/>
      <c r="CD209" s="141"/>
    </row>
    <row r="210" spans="1:82" x14ac:dyDescent="0.2">
      <c r="A210" s="31"/>
      <c r="B210" s="67">
        <v>191</v>
      </c>
      <c r="C210" s="51">
        <v>14</v>
      </c>
      <c r="D210" s="55">
        <v>9</v>
      </c>
      <c r="E210" s="37">
        <v>2</v>
      </c>
      <c r="F210" s="37">
        <f t="shared" si="49"/>
        <v>1</v>
      </c>
      <c r="G210" s="37" cm="1">
        <f t="array" ref="G210">IF(E210&lt;=INDEX($B$4:$B$17,C210),1,0)</f>
        <v>1</v>
      </c>
      <c r="H210" s="120">
        <f t="shared" ca="1" si="51"/>
        <v>166.37290284303751</v>
      </c>
      <c r="I210" s="38">
        <f>IF(AND(sat_working=TRUE,E210=6),ROUNDDOWN(AVERAGE('Data for 2021'!I204:I208),0),'Data for 2021'!I209)</f>
        <v>141</v>
      </c>
      <c r="J210" s="80">
        <f t="shared" ca="1" si="47"/>
        <v>1040.9454682893486</v>
      </c>
      <c r="K210" s="80">
        <f t="shared" ca="1" si="50"/>
        <v>1015.572565446311</v>
      </c>
      <c r="L210" s="55">
        <f t="shared" ca="1" si="52"/>
        <v>0</v>
      </c>
      <c r="M210" s="55">
        <f t="shared" ca="1" si="48"/>
        <v>135.83880421123317</v>
      </c>
      <c r="N210" s="55"/>
      <c r="O210" s="31"/>
      <c r="P210" s="31"/>
      <c r="Q210" s="31"/>
      <c r="R210" s="31"/>
      <c r="S210" s="31"/>
      <c r="T210" s="31"/>
      <c r="U210" s="31"/>
      <c r="V210" s="31"/>
      <c r="W210" s="31"/>
      <c r="X210" s="77"/>
      <c r="Y210" s="31"/>
      <c r="Z210" s="31"/>
      <c r="AA210" s="77"/>
      <c r="AB210" s="31"/>
      <c r="AC210" s="31"/>
      <c r="AD210" s="31"/>
      <c r="AE210" s="31"/>
      <c r="AF210" s="31"/>
      <c r="AG210" s="46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CA210" s="141"/>
      <c r="CB210" s="141"/>
      <c r="CC210" s="141"/>
      <c r="CD210" s="141"/>
    </row>
    <row r="211" spans="1:82" x14ac:dyDescent="0.2">
      <c r="A211" s="31"/>
      <c r="B211" s="70">
        <v>192</v>
      </c>
      <c r="C211" s="51">
        <v>14</v>
      </c>
      <c r="D211" s="55">
        <v>10</v>
      </c>
      <c r="E211" s="37">
        <v>3</v>
      </c>
      <c r="F211" s="37">
        <f t="shared" si="49"/>
        <v>1</v>
      </c>
      <c r="G211" s="37" cm="1">
        <f t="array" ref="G211">IF(E211&lt;=INDEX($B$4:$B$17,C211),1,0)</f>
        <v>1</v>
      </c>
      <c r="H211" s="120">
        <f t="shared" ca="1" si="51"/>
        <v>173.34237123299454</v>
      </c>
      <c r="I211" s="38">
        <f>IF(AND(sat_working=TRUE,E211=6),ROUNDDOWN(AVERAGE('Data for 2021'!I205:I209),0),'Data for 2021'!I210)</f>
        <v>171</v>
      </c>
      <c r="J211" s="80">
        <f t="shared" ca="1" si="47"/>
        <v>1015.572565446311</v>
      </c>
      <c r="K211" s="80">
        <f t="shared" ca="1" si="50"/>
        <v>1013.2301942133165</v>
      </c>
      <c r="L211" s="55">
        <f t="shared" ca="1" si="52"/>
        <v>0</v>
      </c>
      <c r="M211" s="55">
        <f t="shared" ca="1" si="48"/>
        <v>166.37290284303751</v>
      </c>
      <c r="N211" s="55"/>
      <c r="O211" s="31"/>
      <c r="P211" s="31"/>
      <c r="Q211" s="31"/>
      <c r="R211" s="31"/>
      <c r="S211" s="31"/>
      <c r="T211" s="31"/>
      <c r="U211" s="31"/>
      <c r="V211" s="31"/>
      <c r="W211" s="31"/>
      <c r="X211" s="77"/>
      <c r="Y211" s="31"/>
      <c r="Z211" s="31"/>
      <c r="AA211" s="77"/>
      <c r="AB211" s="31"/>
      <c r="AC211" s="31"/>
      <c r="AD211" s="31"/>
      <c r="AE211" s="31"/>
      <c r="AF211" s="31"/>
      <c r="AG211" s="46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CA211" s="141"/>
      <c r="CB211" s="141"/>
      <c r="CC211" s="141"/>
      <c r="CD211" s="141"/>
    </row>
    <row r="212" spans="1:82" x14ac:dyDescent="0.2">
      <c r="A212" s="31"/>
      <c r="B212" s="67">
        <v>193</v>
      </c>
      <c r="C212" s="51">
        <v>14</v>
      </c>
      <c r="D212" s="55">
        <v>11</v>
      </c>
      <c r="E212" s="37">
        <v>4</v>
      </c>
      <c r="F212" s="37">
        <f t="shared" ref="F212:F215" si="53">IF(OR(I212&lt;&gt;0,(AND(sat_working=TRUE,E212=6))),1,0)</f>
        <v>1</v>
      </c>
      <c r="G212" s="37" cm="1">
        <f t="array" ref="G212">IF(E212&lt;=INDEX($B$4:$B$17,C212),1,0)</f>
        <v>1</v>
      </c>
      <c r="H212" s="120">
        <f t="shared" ca="1" si="51"/>
        <v>146.25584142545551</v>
      </c>
      <c r="I212" s="38">
        <f>IF(AND(sat_working=TRUE,E212=6),ROUNDDOWN(AVERAGE('Data for 2021'!I206:I210),0),'Data for 2021'!I211)</f>
        <v>157</v>
      </c>
      <c r="J212" s="80">
        <f t="shared" ca="1" si="47"/>
        <v>1013.2301942133165</v>
      </c>
      <c r="K212" s="80">
        <f t="shared" ref="K212:K215" ca="1" si="54">J212+I212-H212</f>
        <v>1023.974352787861</v>
      </c>
      <c r="L212" s="55">
        <f t="shared" ca="1" si="52"/>
        <v>0</v>
      </c>
      <c r="M212" s="55">
        <f t="shared" ca="1" si="48"/>
        <v>173.34237123299454</v>
      </c>
      <c r="N212" s="55"/>
      <c r="O212" s="31"/>
      <c r="P212" s="31"/>
      <c r="Q212" s="31"/>
      <c r="R212" s="31"/>
      <c r="S212" s="31"/>
      <c r="T212" s="31"/>
      <c r="U212" s="31"/>
      <c r="V212" s="31"/>
      <c r="W212" s="31"/>
      <c r="X212" s="77"/>
      <c r="Y212" s="31"/>
      <c r="Z212" s="31"/>
      <c r="AA212" s="77"/>
      <c r="AB212" s="31"/>
      <c r="AC212" s="31"/>
      <c r="AD212" s="31"/>
      <c r="AE212" s="31"/>
      <c r="AF212" s="31"/>
      <c r="AG212" s="46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CA212" s="141"/>
      <c r="CB212" s="141"/>
      <c r="CC212" s="141"/>
      <c r="CD212" s="141"/>
    </row>
    <row r="213" spans="1:82" x14ac:dyDescent="0.2">
      <c r="A213" s="31"/>
      <c r="B213" s="70">
        <v>194</v>
      </c>
      <c r="C213" s="51">
        <v>14</v>
      </c>
      <c r="D213" s="55">
        <v>12</v>
      </c>
      <c r="E213" s="37">
        <v>5</v>
      </c>
      <c r="F213" s="37">
        <f t="shared" si="53"/>
        <v>0</v>
      </c>
      <c r="G213" s="37" cm="1">
        <f t="array" ref="G213">IF(E213&lt;=INDEX($B$4:$B$17,C213),1,0)</f>
        <v>1</v>
      </c>
      <c r="H213" s="120">
        <f t="shared" ref="H213:H215" ca="1" si="55">IF(G213=1,IF(cutting_choice=1, MIN(J213,$H$12),MIN(J213,NORMINV(RAND(),$H$13,$H$14))),0)</f>
        <v>143.73527317725333</v>
      </c>
      <c r="I213" s="38">
        <f>IF(AND(sat_working=TRUE,E213=6),ROUNDDOWN(AVERAGE('Data for 2021'!I207:I211),0),'Data for 2021'!I212)</f>
        <v>0</v>
      </c>
      <c r="J213" s="80">
        <f t="shared" ca="1" si="47"/>
        <v>1023.974352787861</v>
      </c>
      <c r="K213" s="80">
        <f t="shared" ca="1" si="54"/>
        <v>880.23907961060763</v>
      </c>
      <c r="L213" s="55">
        <f t="shared" ca="1" si="52"/>
        <v>0</v>
      </c>
      <c r="M213" s="55">
        <f t="shared" ca="1" si="48"/>
        <v>146.25584142545551</v>
      </c>
      <c r="N213" s="55"/>
      <c r="O213" s="31"/>
      <c r="P213" s="31"/>
      <c r="Q213" s="31"/>
      <c r="R213" s="31"/>
      <c r="S213" s="31"/>
      <c r="T213" s="31"/>
      <c r="U213" s="31"/>
      <c r="V213" s="31"/>
      <c r="W213" s="31"/>
      <c r="X213" s="77"/>
      <c r="Y213" s="31"/>
      <c r="Z213" s="31"/>
      <c r="AA213" s="77"/>
      <c r="AB213" s="31"/>
      <c r="AC213" s="31"/>
      <c r="AD213" s="31"/>
      <c r="AE213" s="31"/>
      <c r="AF213" s="31"/>
      <c r="AG213" s="46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CA213" s="141"/>
      <c r="CB213" s="141"/>
      <c r="CC213" s="141"/>
      <c r="CD213" s="141"/>
    </row>
    <row r="214" spans="1:82" x14ac:dyDescent="0.2">
      <c r="A214" s="31"/>
      <c r="B214" s="67">
        <v>195</v>
      </c>
      <c r="C214" s="51">
        <v>14</v>
      </c>
      <c r="D214" s="55">
        <v>13</v>
      </c>
      <c r="E214" s="37">
        <v>6</v>
      </c>
      <c r="F214" s="37">
        <f t="shared" si="53"/>
        <v>1</v>
      </c>
      <c r="G214" s="37" cm="1">
        <f t="array" ref="G214">IF(E214&lt;=INDEX($B$4:$B$17,C214),1,0)</f>
        <v>0</v>
      </c>
      <c r="H214" s="120">
        <f t="shared" ca="1" si="55"/>
        <v>0</v>
      </c>
      <c r="I214" s="38">
        <v>0</v>
      </c>
      <c r="J214" s="80">
        <f t="shared" ref="J214:J215" ca="1" si="56">K213</f>
        <v>880.23907961060763</v>
      </c>
      <c r="K214" s="80">
        <f t="shared" ca="1" si="54"/>
        <v>880.23907961060763</v>
      </c>
      <c r="L214" s="55">
        <f t="shared" ca="1" si="52"/>
        <v>0</v>
      </c>
      <c r="M214" s="55">
        <f t="shared" ref="M214:M215" ca="1" si="57">IF(OR(G213=0,L213=1),"",H213)</f>
        <v>143.73527317725333</v>
      </c>
      <c r="N214" s="55"/>
      <c r="O214" s="31"/>
      <c r="P214" s="31"/>
      <c r="Q214" s="31"/>
      <c r="R214" s="31"/>
      <c r="S214" s="31"/>
      <c r="T214" s="31"/>
      <c r="U214" s="31"/>
      <c r="V214" s="31"/>
      <c r="W214" s="31"/>
      <c r="X214" s="77"/>
      <c r="Y214" s="31"/>
      <c r="Z214" s="31"/>
      <c r="AA214" s="77"/>
      <c r="AB214" s="31"/>
      <c r="AC214" s="31"/>
      <c r="AD214" s="31"/>
      <c r="AE214" s="31"/>
      <c r="AF214" s="31"/>
      <c r="AG214" s="46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CA214" s="141"/>
      <c r="CB214" s="141"/>
      <c r="CC214" s="141"/>
      <c r="CD214" s="141"/>
    </row>
    <row r="215" spans="1:82" x14ac:dyDescent="0.2">
      <c r="A215" s="31"/>
      <c r="B215" s="70">
        <v>196</v>
      </c>
      <c r="C215" s="52">
        <v>14</v>
      </c>
      <c r="D215" s="57">
        <v>14</v>
      </c>
      <c r="E215" s="39">
        <v>7</v>
      </c>
      <c r="F215" s="39">
        <f t="shared" si="53"/>
        <v>0</v>
      </c>
      <c r="G215" s="39" cm="1">
        <f t="array" ref="G215">IF(E215&lt;=INDEX($B$4:$B$17,C215),1,0)</f>
        <v>0</v>
      </c>
      <c r="H215" s="120">
        <f t="shared" ca="1" si="55"/>
        <v>0</v>
      </c>
      <c r="I215" s="38">
        <f>IF(AND(sat_working=TRUE,E215=6),ROUNDDOWN(AVERAGE('Data for 2021'!I209:I213),0),'Data for 2021'!I214)</f>
        <v>0</v>
      </c>
      <c r="J215" s="80">
        <f t="shared" ca="1" si="56"/>
        <v>880.23907961060763</v>
      </c>
      <c r="K215" s="80">
        <f t="shared" ca="1" si="54"/>
        <v>880.23907961060763</v>
      </c>
      <c r="L215" s="55">
        <f t="shared" ca="1" si="52"/>
        <v>0</v>
      </c>
      <c r="M215" s="55" t="str">
        <f t="shared" ca="1" si="57"/>
        <v/>
      </c>
      <c r="N215" s="55"/>
      <c r="O215" s="31"/>
      <c r="P215" s="31"/>
      <c r="Q215" s="31"/>
      <c r="R215" s="31"/>
      <c r="S215" s="31"/>
      <c r="T215" s="31"/>
      <c r="U215" s="31"/>
      <c r="V215" s="31"/>
      <c r="W215" s="31"/>
      <c r="X215" s="77"/>
      <c r="Y215" s="31"/>
      <c r="Z215" s="31"/>
      <c r="AA215" s="77"/>
      <c r="AB215" s="31"/>
      <c r="AC215" s="31"/>
      <c r="AD215" s="31"/>
      <c r="AE215" s="31"/>
      <c r="AF215" s="31"/>
      <c r="AG215" s="46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CA215" s="141"/>
      <c r="CB215" s="141"/>
      <c r="CC215" s="141"/>
      <c r="CD215" s="141"/>
    </row>
    <row r="216" spans="1:82" s="31" customFormat="1" x14ac:dyDescent="0.2">
      <c r="B216" s="71"/>
      <c r="X216" s="77"/>
      <c r="AA216" s="77"/>
      <c r="AG216" s="46"/>
      <c r="CA216" s="142"/>
      <c r="CB216" s="142"/>
      <c r="CC216" s="142"/>
      <c r="CD216" s="142"/>
    </row>
    <row r="217" spans="1:82" s="31" customFormat="1" x14ac:dyDescent="0.2">
      <c r="B217" s="71"/>
      <c r="X217" s="77"/>
      <c r="AA217" s="77"/>
      <c r="AG217" s="46"/>
      <c r="CA217" s="142"/>
      <c r="CB217" s="142"/>
      <c r="CC217" s="142"/>
      <c r="CD217" s="142"/>
    </row>
    <row r="218" spans="1:82" s="31" customFormat="1" x14ac:dyDescent="0.2">
      <c r="B218" s="71"/>
      <c r="X218" s="77"/>
      <c r="AA218" s="77"/>
      <c r="AG218" s="46"/>
      <c r="CA218" s="142"/>
      <c r="CB218" s="142"/>
      <c r="CC218" s="142"/>
      <c r="CD218" s="142"/>
    </row>
    <row r="219" spans="1:82" s="31" customFormat="1" x14ac:dyDescent="0.2">
      <c r="B219" s="71"/>
      <c r="X219" s="77"/>
      <c r="AA219" s="77"/>
      <c r="AG219" s="46"/>
    </row>
    <row r="220" spans="1:82" s="31" customFormat="1" x14ac:dyDescent="0.2">
      <c r="B220" s="71"/>
      <c r="X220" s="77"/>
      <c r="AA220" s="77"/>
      <c r="AG220" s="46"/>
    </row>
    <row r="221" spans="1:82" s="31" customFormat="1" x14ac:dyDescent="0.2">
      <c r="B221" s="71"/>
      <c r="X221" s="77"/>
      <c r="AA221" s="77"/>
      <c r="AG221" s="46"/>
    </row>
    <row r="222" spans="1:82" s="31" customFormat="1" x14ac:dyDescent="0.2">
      <c r="B222" s="71"/>
      <c r="X222" s="77"/>
      <c r="AA222" s="77"/>
      <c r="AG222" s="46"/>
    </row>
    <row r="223" spans="1:82" x14ac:dyDescent="0.2">
      <c r="AG223" s="46"/>
      <c r="AH223" s="31"/>
      <c r="AI223" s="3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2</xdr:col>
                    <xdr:colOff>571500</xdr:colOff>
                    <xdr:row>12</xdr:row>
                    <xdr:rowOff>12700</xdr:rowOff>
                  </from>
                  <to>
                    <xdr:col>5</xdr:col>
                    <xdr:colOff>139700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Option Button 2">
              <controlPr defaultSize="0" autoFill="0" autoLine="0" autoPict="0">
                <anchor moveWithCells="1">
                  <from>
                    <xdr:col>10</xdr:col>
                    <xdr:colOff>292100</xdr:colOff>
                    <xdr:row>13</xdr:row>
                    <xdr:rowOff>0</xdr:rowOff>
                  </from>
                  <to>
                    <xdr:col>14</xdr:col>
                    <xdr:colOff>241300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Option Button 3">
              <controlPr defaultSize="0" autoFill="0" autoLine="0" autoPict="0">
                <anchor moveWithCells="1">
                  <from>
                    <xdr:col>10</xdr:col>
                    <xdr:colOff>292100</xdr:colOff>
                    <xdr:row>15</xdr:row>
                    <xdr:rowOff>63500</xdr:rowOff>
                  </from>
                  <to>
                    <xdr:col>12</xdr:col>
                    <xdr:colOff>228600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RunSimExam">
                <anchor moveWithCells="1" sizeWithCells="1">
                  <from>
                    <xdr:col>18</xdr:col>
                    <xdr:colOff>711200</xdr:colOff>
                    <xdr:row>2</xdr:row>
                    <xdr:rowOff>0</xdr:rowOff>
                  </from>
                  <to>
                    <xdr:col>20</xdr:col>
                    <xdr:colOff>533400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User</vt:lpstr>
      <vt:lpstr>Data for 2021</vt:lpstr>
      <vt:lpstr>Predictive Modelling 2022</vt:lpstr>
      <vt:lpstr>Predictive Model Part C </vt:lpstr>
      <vt:lpstr>User!_ftn1</vt:lpstr>
      <vt:lpstr>User!_ftn2</vt:lpstr>
      <vt:lpstr>User!_ftn3</vt:lpstr>
      <vt:lpstr>User!_ftnref1</vt:lpstr>
      <vt:lpstr>User!_ftnref2</vt:lpstr>
      <vt:lpstr>User!_ftnref3</vt:lpstr>
      <vt:lpstr>Chart_LPS196</vt:lpstr>
      <vt:lpstr>'Predictive Model Part C '!cutting_choice</vt:lpstr>
      <vt:lpstr>cutting_choice</vt:lpstr>
      <vt:lpstr>'Predictive Model Part C '!Final_size</vt:lpstr>
      <vt:lpstr>'Predictive Modelling 2022'!Final_size</vt:lpstr>
      <vt:lpstr>Final_size</vt:lpstr>
      <vt:lpstr>'Predictive Model Part C '!Maxlogsize</vt:lpstr>
      <vt:lpstr>Maxlogsize</vt:lpstr>
      <vt:lpstr>PartC_answers</vt:lpstr>
      <vt:lpstr>PartD_answers</vt:lpstr>
      <vt:lpstr>'Predictive Model Part C '!reps</vt:lpstr>
      <vt:lpstr>reps</vt:lpstr>
      <vt:lpstr>'Predictive Model Part C '!sat_working</vt:lpstr>
      <vt:lpstr>sat_working</vt:lpstr>
      <vt:lpstr>'Predictive Model Part C '!Sawmill_schedule</vt:lpstr>
      <vt:lpstr>'Predictive Modelling 2022'!Sawmill_schedule</vt:lpstr>
      <vt:lpstr>Sawmill_schedule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Giram, Saurabh</cp:lastModifiedBy>
  <dcterms:created xsi:type="dcterms:W3CDTF">2021-12-07T18:28:09Z</dcterms:created>
  <dcterms:modified xsi:type="dcterms:W3CDTF">2022-02-06T12:59:28Z</dcterms:modified>
</cp:coreProperties>
</file>