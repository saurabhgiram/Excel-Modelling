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lancsac-my.sharepoint.com/personal/giram_lancaster_ac_uk/Documents/Lancaster/BA/MSCI502 Operational Research and Prescriptive Analytics/"/>
    </mc:Choice>
  </mc:AlternateContent>
  <xr:revisionPtr revIDLastSave="457" documentId="8_{BED055E6-71C3-4103-BCEB-DC5AE8E73D7B}" xr6:coauthVersionLast="46" xr6:coauthVersionMax="46" xr10:uidLastSave="{6B7408FD-A5CD-4F4C-AF7E-C4B0679903D7}"/>
  <bookViews>
    <workbookView xWindow="-120" yWindow="-120" windowWidth="20730" windowHeight="11760" activeTab="2" xr2:uid="{029481B9-4898-49FB-A892-1258D77EFD47}"/>
  </bookViews>
  <sheets>
    <sheet name="Logging Data" sheetId="1" r:id="rId1"/>
    <sheet name="Backup" sheetId="2" r:id="rId2"/>
    <sheet name=" Predictive Modell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3" l="1"/>
  <c r="H15" i="3"/>
  <c r="H16" i="3"/>
  <c r="H17" i="3"/>
  <c r="H22" i="3"/>
  <c r="H23" i="3"/>
  <c r="H24" i="3"/>
  <c r="H29" i="3"/>
  <c r="H30" i="3"/>
  <c r="H31" i="3"/>
  <c r="H36" i="3"/>
  <c r="H37" i="3"/>
  <c r="H38" i="3"/>
  <c r="H43" i="3"/>
  <c r="H44" i="3"/>
  <c r="H45" i="3"/>
  <c r="H50" i="3"/>
  <c r="H51" i="3"/>
  <c r="H52" i="3"/>
  <c r="H57" i="3"/>
  <c r="H58" i="3"/>
  <c r="H59" i="3"/>
  <c r="H64" i="3"/>
  <c r="H65" i="3"/>
  <c r="H66" i="3"/>
  <c r="H71" i="3"/>
  <c r="H72" i="3"/>
  <c r="H73" i="3"/>
  <c r="H78" i="3"/>
  <c r="H79" i="3"/>
  <c r="H80" i="3"/>
  <c r="H85" i="3"/>
  <c r="H86" i="3"/>
  <c r="H87" i="3"/>
  <c r="H92" i="3"/>
  <c r="H93" i="3"/>
  <c r="H94" i="3"/>
  <c r="H100" i="3"/>
  <c r="H101" i="3"/>
  <c r="H107" i="3"/>
  <c r="H108" i="3"/>
  <c r="H114" i="3"/>
  <c r="H115" i="3"/>
  <c r="H121" i="3"/>
  <c r="H122" i="3"/>
  <c r="H128" i="3"/>
  <c r="H129" i="3"/>
  <c r="H135" i="3"/>
  <c r="H136" i="3"/>
  <c r="H143" i="3"/>
  <c r="H150" i="3"/>
  <c r="H157" i="3"/>
  <c r="H164" i="3"/>
  <c r="H171" i="3"/>
  <c r="H178" i="3"/>
  <c r="S5" i="3"/>
  <c r="T5" i="3"/>
  <c r="S4" i="3"/>
  <c r="T4" i="3"/>
  <c r="S3" i="3"/>
  <c r="T3" i="3"/>
  <c r="S2" i="3"/>
  <c r="T2" i="3"/>
  <c r="O5" i="3"/>
  <c r="P5" i="3"/>
  <c r="Q5" i="3"/>
  <c r="R5" i="3"/>
  <c r="O4" i="3"/>
  <c r="P4" i="3"/>
  <c r="Q4" i="3"/>
  <c r="R4" i="3"/>
  <c r="O3" i="3"/>
  <c r="P3" i="3"/>
  <c r="Q3" i="3"/>
  <c r="R3" i="3"/>
  <c r="O2" i="3"/>
  <c r="P2" i="3"/>
  <c r="Q2" i="3"/>
  <c r="R2" i="3"/>
  <c r="N5" i="3"/>
  <c r="N4" i="3"/>
  <c r="N3" i="3"/>
  <c r="N2" i="3"/>
  <c r="L7" i="1"/>
  <c r="L6" i="1"/>
  <c r="L5" i="1"/>
  <c r="L4" i="1"/>
  <c r="L3" i="1"/>
  <c r="L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2" i="1"/>
  <c r="C8" i="3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52" i="3" a="1"/>
  <c r="F52" i="3" s="1"/>
  <c r="F53" i="3" a="1"/>
  <c r="F53" i="3" s="1"/>
  <c r="F54" i="3" a="1"/>
  <c r="F54" i="3" s="1"/>
  <c r="F55" i="3" a="1"/>
  <c r="F55" i="3" s="1"/>
  <c r="F56" i="3" a="1"/>
  <c r="F56" i="3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8" i="3" a="1"/>
  <c r="F68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4" i="3" a="1"/>
  <c r="F74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5" i="3" a="1"/>
  <c r="F135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1" i="3" a="1"/>
  <c r="F11" i="3" s="1"/>
  <c r="D32" i="3"/>
  <c r="D39" i="3" s="1"/>
  <c r="D46" i="3" s="1"/>
  <c r="D53" i="3" s="1"/>
  <c r="D60" i="3" s="1"/>
  <c r="D67" i="3" s="1"/>
  <c r="D74" i="3" s="1"/>
  <c r="D81" i="3" s="1"/>
  <c r="D88" i="3" s="1"/>
  <c r="D95" i="3" s="1"/>
  <c r="D102" i="3" s="1"/>
  <c r="D109" i="3" s="1"/>
  <c r="D116" i="3" s="1"/>
  <c r="D123" i="3" s="1"/>
  <c r="D130" i="3" s="1"/>
  <c r="D137" i="3" s="1"/>
  <c r="D144" i="3" s="1"/>
  <c r="D151" i="3" s="1"/>
  <c r="D158" i="3" s="1"/>
  <c r="D165" i="3" s="1"/>
  <c r="D172" i="3" s="1"/>
  <c r="D28" i="3"/>
  <c r="D35" i="3" s="1"/>
  <c r="D42" i="3" s="1"/>
  <c r="D49" i="3" s="1"/>
  <c r="D56" i="3" s="1"/>
  <c r="D63" i="3" s="1"/>
  <c r="D70" i="3" s="1"/>
  <c r="D77" i="3" s="1"/>
  <c r="D84" i="3" s="1"/>
  <c r="D91" i="3" s="1"/>
  <c r="D98" i="3" s="1"/>
  <c r="D105" i="3" s="1"/>
  <c r="D112" i="3" s="1"/>
  <c r="D119" i="3" s="1"/>
  <c r="D126" i="3" s="1"/>
  <c r="D133" i="3" s="1"/>
  <c r="D140" i="3" s="1"/>
  <c r="D147" i="3" s="1"/>
  <c r="D154" i="3" s="1"/>
  <c r="D161" i="3" s="1"/>
  <c r="D168" i="3" s="1"/>
  <c r="D175" i="3" s="1"/>
  <c r="D27" i="3"/>
  <c r="D34" i="3" s="1"/>
  <c r="D41" i="3" s="1"/>
  <c r="D48" i="3" s="1"/>
  <c r="D55" i="3" s="1"/>
  <c r="D62" i="3" s="1"/>
  <c r="D69" i="3" s="1"/>
  <c r="D76" i="3" s="1"/>
  <c r="D83" i="3" s="1"/>
  <c r="D90" i="3" s="1"/>
  <c r="D97" i="3" s="1"/>
  <c r="D104" i="3" s="1"/>
  <c r="D111" i="3" s="1"/>
  <c r="D118" i="3" s="1"/>
  <c r="D125" i="3" s="1"/>
  <c r="D132" i="3" s="1"/>
  <c r="D139" i="3" s="1"/>
  <c r="D146" i="3" s="1"/>
  <c r="D153" i="3" s="1"/>
  <c r="D160" i="3" s="1"/>
  <c r="D167" i="3" s="1"/>
  <c r="D174" i="3" s="1"/>
  <c r="D26" i="3"/>
  <c r="D33" i="3" s="1"/>
  <c r="D40" i="3" s="1"/>
  <c r="D47" i="3" s="1"/>
  <c r="D54" i="3" s="1"/>
  <c r="D61" i="3" s="1"/>
  <c r="D68" i="3" s="1"/>
  <c r="D75" i="3" s="1"/>
  <c r="D82" i="3" s="1"/>
  <c r="D89" i="3" s="1"/>
  <c r="D96" i="3" s="1"/>
  <c r="D103" i="3" s="1"/>
  <c r="D110" i="3" s="1"/>
  <c r="D117" i="3" s="1"/>
  <c r="D124" i="3" s="1"/>
  <c r="D131" i="3" s="1"/>
  <c r="D138" i="3" s="1"/>
  <c r="D145" i="3" s="1"/>
  <c r="D152" i="3" s="1"/>
  <c r="D159" i="3" s="1"/>
  <c r="D166" i="3" s="1"/>
  <c r="D173" i="3" s="1"/>
  <c r="D25" i="3"/>
  <c r="D24" i="3"/>
  <c r="D31" i="3" s="1"/>
  <c r="D38" i="3" s="1"/>
  <c r="D45" i="3" s="1"/>
  <c r="D52" i="3" s="1"/>
  <c r="D59" i="3" s="1"/>
  <c r="D66" i="3" s="1"/>
  <c r="D73" i="3" s="1"/>
  <c r="D80" i="3" s="1"/>
  <c r="D87" i="3" s="1"/>
  <c r="D94" i="3" s="1"/>
  <c r="D101" i="3" s="1"/>
  <c r="D108" i="3" s="1"/>
  <c r="D115" i="3" s="1"/>
  <c r="D122" i="3" s="1"/>
  <c r="D129" i="3" s="1"/>
  <c r="D136" i="3" s="1"/>
  <c r="D143" i="3" s="1"/>
  <c r="D150" i="3" s="1"/>
  <c r="D157" i="3" s="1"/>
  <c r="D164" i="3" s="1"/>
  <c r="D171" i="3" s="1"/>
  <c r="D178" i="3" s="1"/>
  <c r="D23" i="3"/>
  <c r="D30" i="3" s="1"/>
  <c r="D37" i="3" s="1"/>
  <c r="D44" i="3" s="1"/>
  <c r="D51" i="3" s="1"/>
  <c r="D58" i="3" s="1"/>
  <c r="D65" i="3" s="1"/>
  <c r="D72" i="3" s="1"/>
  <c r="D79" i="3" s="1"/>
  <c r="D86" i="3" s="1"/>
  <c r="D93" i="3" s="1"/>
  <c r="D100" i="3" s="1"/>
  <c r="D107" i="3" s="1"/>
  <c r="D114" i="3" s="1"/>
  <c r="D121" i="3" s="1"/>
  <c r="D128" i="3" s="1"/>
  <c r="D135" i="3" s="1"/>
  <c r="D142" i="3" s="1"/>
  <c r="D149" i="3" s="1"/>
  <c r="D156" i="3" s="1"/>
  <c r="D163" i="3" s="1"/>
  <c r="D170" i="3" s="1"/>
  <c r="D177" i="3" s="1"/>
  <c r="D22" i="3"/>
  <c r="D29" i="3" s="1"/>
  <c r="D36" i="3" s="1"/>
  <c r="D43" i="3" s="1"/>
  <c r="D50" i="3" s="1"/>
  <c r="D57" i="3" s="1"/>
  <c r="D64" i="3" s="1"/>
  <c r="D71" i="3" s="1"/>
  <c r="D78" i="3" s="1"/>
  <c r="D85" i="3" s="1"/>
  <c r="D92" i="3" s="1"/>
  <c r="D99" i="3" s="1"/>
  <c r="D106" i="3" s="1"/>
  <c r="D113" i="3" s="1"/>
  <c r="D120" i="3" s="1"/>
  <c r="D127" i="3" s="1"/>
  <c r="D134" i="3" s="1"/>
  <c r="D141" i="3" s="1"/>
  <c r="D148" i="3" s="1"/>
  <c r="D155" i="3" s="1"/>
  <c r="D162" i="3" s="1"/>
  <c r="D169" i="3" s="1"/>
  <c r="D176" i="3" s="1"/>
  <c r="D21" i="3"/>
  <c r="AB20" i="3"/>
  <c r="D20" i="3"/>
  <c r="AB19" i="3"/>
  <c r="D19" i="3"/>
  <c r="AB18" i="3"/>
  <c r="D18" i="3"/>
  <c r="AB17" i="3"/>
  <c r="AB16" i="3"/>
  <c r="AB15" i="3"/>
  <c r="AB14" i="3"/>
  <c r="AB13" i="3"/>
  <c r="AB12" i="3"/>
  <c r="AB11" i="3"/>
  <c r="J11" i="3"/>
  <c r="I12" i="3" s="1"/>
  <c r="H4" i="1"/>
  <c r="H5" i="1"/>
  <c r="H2" i="1"/>
  <c r="H3" i="1"/>
  <c r="K8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2" i="1"/>
  <c r="T6" i="3" l="1"/>
  <c r="S6" i="3"/>
  <c r="R6" i="3"/>
  <c r="N6" i="3"/>
  <c r="P6" i="3"/>
  <c r="Q6" i="3"/>
  <c r="O6" i="3"/>
  <c r="AA20" i="1" l="1"/>
  <c r="AA13" i="1"/>
  <c r="AA14" i="1"/>
  <c r="AA15" i="1"/>
  <c r="AA16" i="1"/>
  <c r="AA17" i="1"/>
  <c r="AA18" i="1"/>
  <c r="AA19" i="1"/>
  <c r="AA12" i="1"/>
  <c r="AC11" i="1" a="1"/>
  <c r="AC11" i="1" s="1"/>
  <c r="AA11" i="1"/>
  <c r="J7" i="1" l="1"/>
  <c r="J6" i="1"/>
  <c r="J5" i="1"/>
  <c r="J4" i="1"/>
  <c r="J3" i="1"/>
  <c r="J2" i="1"/>
  <c r="J12" i="1"/>
  <c r="I13" i="1"/>
  <c r="J13" i="1" s="1"/>
  <c r="I14" i="1" s="1"/>
  <c r="J14" i="1" s="1"/>
  <c r="I15" i="1" s="1"/>
  <c r="J15" i="1" s="1"/>
  <c r="I16" i="1" s="1"/>
  <c r="J16" i="1" s="1"/>
  <c r="I17" i="1" s="1"/>
  <c r="J17" i="1" s="1"/>
  <c r="I18" i="1" s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I32" i="1" s="1"/>
  <c r="J32" i="1" s="1"/>
  <c r="I33" i="1" s="1"/>
  <c r="J33" i="1" s="1"/>
  <c r="I34" i="1" s="1"/>
  <c r="J34" i="1" s="1"/>
  <c r="I35" i="1" s="1"/>
  <c r="J35" i="1" s="1"/>
  <c r="I36" i="1" s="1"/>
  <c r="J36" i="1" s="1"/>
  <c r="I37" i="1" s="1"/>
  <c r="J37" i="1" s="1"/>
  <c r="I38" i="1" s="1"/>
  <c r="J38" i="1" s="1"/>
  <c r="I39" i="1" s="1"/>
  <c r="J39" i="1" s="1"/>
  <c r="I40" i="1" s="1"/>
  <c r="J40" i="1" s="1"/>
  <c r="I41" i="1" s="1"/>
  <c r="J41" i="1" s="1"/>
  <c r="I42" i="1" s="1"/>
  <c r="J42" i="1" s="1"/>
  <c r="I43" i="1" s="1"/>
  <c r="J43" i="1" s="1"/>
  <c r="I44" i="1" s="1"/>
  <c r="J44" i="1" s="1"/>
  <c r="I45" i="1" s="1"/>
  <c r="J45" i="1" s="1"/>
  <c r="I46" i="1" s="1"/>
  <c r="J46" i="1" s="1"/>
  <c r="I47" i="1" s="1"/>
  <c r="J47" i="1" s="1"/>
  <c r="I48" i="1" s="1"/>
  <c r="J48" i="1" s="1"/>
  <c r="I49" i="1" s="1"/>
  <c r="J49" i="1" s="1"/>
  <c r="I50" i="1" s="1"/>
  <c r="J50" i="1" s="1"/>
  <c r="I51" i="1" s="1"/>
  <c r="J51" i="1" s="1"/>
  <c r="I52" i="1" s="1"/>
  <c r="J52" i="1" s="1"/>
  <c r="I53" i="1" s="1"/>
  <c r="J53" i="1" s="1"/>
  <c r="I54" i="1" s="1"/>
  <c r="J54" i="1" s="1"/>
  <c r="I55" i="1" s="1"/>
  <c r="J55" i="1" s="1"/>
  <c r="I56" i="1" s="1"/>
  <c r="J56" i="1" s="1"/>
  <c r="I57" i="1" s="1"/>
  <c r="J57" i="1" s="1"/>
  <c r="I58" i="1" s="1"/>
  <c r="J58" i="1" s="1"/>
  <c r="I59" i="1" s="1"/>
  <c r="J59" i="1" s="1"/>
  <c r="I60" i="1" s="1"/>
  <c r="J60" i="1" s="1"/>
  <c r="I61" i="1" s="1"/>
  <c r="J61" i="1" s="1"/>
  <c r="I62" i="1" s="1"/>
  <c r="J62" i="1" s="1"/>
  <c r="I63" i="1" s="1"/>
  <c r="J63" i="1" s="1"/>
  <c r="I64" i="1" s="1"/>
  <c r="J64" i="1" s="1"/>
  <c r="I65" i="1" s="1"/>
  <c r="J65" i="1" s="1"/>
  <c r="I66" i="1" s="1"/>
  <c r="J66" i="1" s="1"/>
  <c r="I67" i="1" s="1"/>
  <c r="J67" i="1" s="1"/>
  <c r="I68" i="1" s="1"/>
  <c r="J68" i="1" s="1"/>
  <c r="I69" i="1" s="1"/>
  <c r="J69" i="1" s="1"/>
  <c r="I70" i="1" s="1"/>
  <c r="J70" i="1" s="1"/>
  <c r="I71" i="1" s="1"/>
  <c r="J71" i="1" s="1"/>
  <c r="I72" i="1" s="1"/>
  <c r="J72" i="1" s="1"/>
  <c r="I73" i="1" s="1"/>
  <c r="J73" i="1" s="1"/>
  <c r="I74" i="1" s="1"/>
  <c r="J74" i="1" s="1"/>
  <c r="I75" i="1" s="1"/>
  <c r="J75" i="1" s="1"/>
  <c r="I76" i="1" s="1"/>
  <c r="J76" i="1" s="1"/>
  <c r="I77" i="1" s="1"/>
  <c r="J77" i="1" s="1"/>
  <c r="I78" i="1" s="1"/>
  <c r="J78" i="1" s="1"/>
  <c r="I79" i="1" s="1"/>
  <c r="J79" i="1" s="1"/>
  <c r="I80" i="1" s="1"/>
  <c r="J80" i="1" s="1"/>
  <c r="I81" i="1" s="1"/>
  <c r="J81" i="1" s="1"/>
  <c r="I82" i="1" s="1"/>
  <c r="J82" i="1" s="1"/>
  <c r="I83" i="1" s="1"/>
  <c r="J83" i="1" s="1"/>
  <c r="I84" i="1" s="1"/>
  <c r="J84" i="1" s="1"/>
  <c r="I85" i="1" s="1"/>
  <c r="J85" i="1" s="1"/>
  <c r="I86" i="1" s="1"/>
  <c r="J86" i="1" s="1"/>
  <c r="I87" i="1" s="1"/>
  <c r="J87" i="1" s="1"/>
  <c r="I88" i="1" s="1"/>
  <c r="J88" i="1" s="1"/>
  <c r="I89" i="1" s="1"/>
  <c r="J89" i="1" s="1"/>
  <c r="I90" i="1" s="1"/>
  <c r="J90" i="1" s="1"/>
  <c r="I91" i="1" s="1"/>
  <c r="J91" i="1" s="1"/>
  <c r="I92" i="1" s="1"/>
  <c r="J92" i="1" s="1"/>
  <c r="I93" i="1" s="1"/>
  <c r="J93" i="1" s="1"/>
  <c r="I94" i="1" s="1"/>
  <c r="J94" i="1" s="1"/>
  <c r="I95" i="1" s="1"/>
  <c r="J95" i="1" s="1"/>
  <c r="I96" i="1" s="1"/>
  <c r="J96" i="1" s="1"/>
  <c r="I97" i="1" s="1"/>
  <c r="J97" i="1" s="1"/>
  <c r="I98" i="1" s="1"/>
  <c r="J98" i="1" s="1"/>
  <c r="I99" i="1" s="1"/>
  <c r="J99" i="1" s="1"/>
  <c r="I100" i="1" s="1"/>
  <c r="J100" i="1" s="1"/>
  <c r="I101" i="1" s="1"/>
  <c r="J101" i="1" s="1"/>
  <c r="I102" i="1" s="1"/>
  <c r="J102" i="1" s="1"/>
  <c r="I103" i="1" s="1"/>
  <c r="J103" i="1" s="1"/>
  <c r="I104" i="1" s="1"/>
  <c r="J104" i="1" s="1"/>
  <c r="I105" i="1" s="1"/>
  <c r="J105" i="1" s="1"/>
  <c r="I106" i="1" s="1"/>
  <c r="J106" i="1" s="1"/>
  <c r="I107" i="1" s="1"/>
  <c r="J107" i="1" s="1"/>
  <c r="I108" i="1" s="1"/>
  <c r="J108" i="1" s="1"/>
  <c r="I109" i="1" s="1"/>
  <c r="J109" i="1" s="1"/>
  <c r="I110" i="1" s="1"/>
  <c r="J110" i="1" s="1"/>
  <c r="I111" i="1" s="1"/>
  <c r="J111" i="1" s="1"/>
  <c r="I112" i="1" s="1"/>
  <c r="J112" i="1" s="1"/>
  <c r="I113" i="1" s="1"/>
  <c r="J113" i="1" s="1"/>
  <c r="I114" i="1" s="1"/>
  <c r="J114" i="1" s="1"/>
  <c r="I115" i="1" s="1"/>
  <c r="J115" i="1" s="1"/>
  <c r="I116" i="1" s="1"/>
  <c r="J116" i="1" s="1"/>
  <c r="I117" i="1" s="1"/>
  <c r="J117" i="1" s="1"/>
  <c r="I118" i="1" s="1"/>
  <c r="J118" i="1" s="1"/>
  <c r="I119" i="1" s="1"/>
  <c r="J119" i="1" s="1"/>
  <c r="I120" i="1" s="1"/>
  <c r="J120" i="1" s="1"/>
  <c r="I121" i="1" s="1"/>
  <c r="J121" i="1" s="1"/>
  <c r="I122" i="1" s="1"/>
  <c r="J122" i="1" s="1"/>
  <c r="I123" i="1" s="1"/>
  <c r="J123" i="1" s="1"/>
  <c r="I124" i="1" s="1"/>
  <c r="J124" i="1" s="1"/>
  <c r="I125" i="1" s="1"/>
  <c r="J125" i="1" s="1"/>
  <c r="I126" i="1" s="1"/>
  <c r="J126" i="1" s="1"/>
  <c r="I127" i="1" s="1"/>
  <c r="J127" i="1" s="1"/>
  <c r="I128" i="1" s="1"/>
  <c r="J128" i="1" s="1"/>
  <c r="I129" i="1" s="1"/>
  <c r="J129" i="1" s="1"/>
  <c r="I130" i="1" s="1"/>
  <c r="J130" i="1" s="1"/>
  <c r="I131" i="1" s="1"/>
  <c r="J131" i="1" s="1"/>
  <c r="I132" i="1" s="1"/>
  <c r="J132" i="1" s="1"/>
  <c r="I133" i="1" s="1"/>
  <c r="J133" i="1" s="1"/>
  <c r="I134" i="1" s="1"/>
  <c r="J134" i="1" s="1"/>
  <c r="I135" i="1" s="1"/>
  <c r="J135" i="1" s="1"/>
  <c r="I136" i="1" s="1"/>
  <c r="J136" i="1" s="1"/>
  <c r="I137" i="1" s="1"/>
  <c r="J137" i="1" s="1"/>
  <c r="I138" i="1" s="1"/>
  <c r="J138" i="1" s="1"/>
  <c r="I139" i="1" s="1"/>
  <c r="J139" i="1" s="1"/>
  <c r="I140" i="1" s="1"/>
  <c r="J140" i="1" s="1"/>
  <c r="I141" i="1" s="1"/>
  <c r="J141" i="1" s="1"/>
  <c r="I142" i="1" s="1"/>
  <c r="J142" i="1" s="1"/>
  <c r="I143" i="1" s="1"/>
  <c r="J143" i="1" s="1"/>
  <c r="I144" i="1" s="1"/>
  <c r="J144" i="1" s="1"/>
  <c r="I145" i="1" s="1"/>
  <c r="J145" i="1" s="1"/>
  <c r="I146" i="1" s="1"/>
  <c r="J146" i="1" s="1"/>
  <c r="I147" i="1" s="1"/>
  <c r="J147" i="1" s="1"/>
  <c r="I148" i="1" s="1"/>
  <c r="J148" i="1" s="1"/>
  <c r="I149" i="1" s="1"/>
  <c r="J149" i="1" s="1"/>
  <c r="I150" i="1" s="1"/>
  <c r="J150" i="1" s="1"/>
  <c r="I151" i="1" s="1"/>
  <c r="J151" i="1" s="1"/>
  <c r="I152" i="1" s="1"/>
  <c r="J152" i="1" s="1"/>
  <c r="I153" i="1" s="1"/>
  <c r="J153" i="1" s="1"/>
  <c r="I154" i="1" s="1"/>
  <c r="J154" i="1" s="1"/>
  <c r="I155" i="1" s="1"/>
  <c r="J155" i="1" s="1"/>
  <c r="I156" i="1" s="1"/>
  <c r="J156" i="1" s="1"/>
  <c r="I157" i="1" s="1"/>
  <c r="J157" i="1" s="1"/>
  <c r="I158" i="1" s="1"/>
  <c r="J158" i="1" s="1"/>
  <c r="I159" i="1" s="1"/>
  <c r="J159" i="1" s="1"/>
  <c r="I160" i="1" s="1"/>
  <c r="J160" i="1" s="1"/>
  <c r="I161" i="1" s="1"/>
  <c r="J161" i="1" s="1"/>
  <c r="I162" i="1" s="1"/>
  <c r="J162" i="1" s="1"/>
  <c r="I163" i="1" s="1"/>
  <c r="J163" i="1" s="1"/>
  <c r="I164" i="1" s="1"/>
  <c r="J164" i="1" s="1"/>
  <c r="I165" i="1" s="1"/>
  <c r="J165" i="1" s="1"/>
  <c r="I166" i="1" s="1"/>
  <c r="J166" i="1" s="1"/>
  <c r="I167" i="1" s="1"/>
  <c r="J167" i="1" s="1"/>
  <c r="I168" i="1" s="1"/>
  <c r="J168" i="1" s="1"/>
  <c r="I169" i="1" s="1"/>
  <c r="J169" i="1" s="1"/>
  <c r="I170" i="1" s="1"/>
  <c r="J170" i="1" s="1"/>
  <c r="I171" i="1" s="1"/>
  <c r="J171" i="1" s="1"/>
  <c r="I172" i="1" s="1"/>
  <c r="J172" i="1" s="1"/>
  <c r="I173" i="1" s="1"/>
  <c r="J173" i="1" s="1"/>
  <c r="I174" i="1" s="1"/>
  <c r="J174" i="1" s="1"/>
  <c r="I175" i="1" s="1"/>
  <c r="J175" i="1" s="1"/>
  <c r="I176" i="1" s="1"/>
  <c r="J176" i="1" s="1"/>
  <c r="I177" i="1" s="1"/>
  <c r="J177" i="1" s="1"/>
  <c r="I178" i="1" s="1"/>
  <c r="J178" i="1" s="1"/>
  <c r="I12" i="1"/>
  <c r="J11" i="1"/>
  <c r="D24" i="2"/>
  <c r="D31" i="2" s="1"/>
  <c r="D38" i="2" s="1"/>
  <c r="D45" i="2" s="1"/>
  <c r="D52" i="2" s="1"/>
  <c r="D59" i="2" s="1"/>
  <c r="D66" i="2" s="1"/>
  <c r="D73" i="2" s="1"/>
  <c r="D80" i="2" s="1"/>
  <c r="D87" i="2" s="1"/>
  <c r="D94" i="2" s="1"/>
  <c r="D101" i="2" s="1"/>
  <c r="D108" i="2" s="1"/>
  <c r="D115" i="2" s="1"/>
  <c r="D122" i="2" s="1"/>
  <c r="D129" i="2" s="1"/>
  <c r="D136" i="2" s="1"/>
  <c r="D143" i="2" s="1"/>
  <c r="D150" i="2" s="1"/>
  <c r="D157" i="2" s="1"/>
  <c r="D164" i="2" s="1"/>
  <c r="D171" i="2" s="1"/>
  <c r="D178" i="2" s="1"/>
  <c r="D23" i="2"/>
  <c r="D30" i="2" s="1"/>
  <c r="D37" i="2" s="1"/>
  <c r="D44" i="2" s="1"/>
  <c r="D51" i="2" s="1"/>
  <c r="D58" i="2" s="1"/>
  <c r="D65" i="2" s="1"/>
  <c r="D72" i="2" s="1"/>
  <c r="D79" i="2" s="1"/>
  <c r="D86" i="2" s="1"/>
  <c r="D93" i="2" s="1"/>
  <c r="D100" i="2" s="1"/>
  <c r="D107" i="2" s="1"/>
  <c r="D114" i="2" s="1"/>
  <c r="D121" i="2" s="1"/>
  <c r="D128" i="2" s="1"/>
  <c r="D135" i="2" s="1"/>
  <c r="D142" i="2" s="1"/>
  <c r="D149" i="2" s="1"/>
  <c r="D156" i="2" s="1"/>
  <c r="D163" i="2" s="1"/>
  <c r="D170" i="2" s="1"/>
  <c r="D177" i="2" s="1"/>
  <c r="D22" i="2"/>
  <c r="D29" i="2" s="1"/>
  <c r="D36" i="2" s="1"/>
  <c r="D43" i="2" s="1"/>
  <c r="D50" i="2" s="1"/>
  <c r="D57" i="2" s="1"/>
  <c r="D64" i="2" s="1"/>
  <c r="D71" i="2" s="1"/>
  <c r="D78" i="2" s="1"/>
  <c r="D85" i="2" s="1"/>
  <c r="D92" i="2" s="1"/>
  <c r="D99" i="2" s="1"/>
  <c r="D106" i="2" s="1"/>
  <c r="D113" i="2" s="1"/>
  <c r="D120" i="2" s="1"/>
  <c r="D127" i="2" s="1"/>
  <c r="D134" i="2" s="1"/>
  <c r="D141" i="2" s="1"/>
  <c r="D148" i="2" s="1"/>
  <c r="D155" i="2" s="1"/>
  <c r="D162" i="2" s="1"/>
  <c r="D169" i="2" s="1"/>
  <c r="D176" i="2" s="1"/>
  <c r="D21" i="2"/>
  <c r="D28" i="2" s="1"/>
  <c r="D35" i="2" s="1"/>
  <c r="D42" i="2" s="1"/>
  <c r="D49" i="2" s="1"/>
  <c r="D56" i="2" s="1"/>
  <c r="D63" i="2" s="1"/>
  <c r="D70" i="2" s="1"/>
  <c r="D77" i="2" s="1"/>
  <c r="D84" i="2" s="1"/>
  <c r="D91" i="2" s="1"/>
  <c r="D98" i="2" s="1"/>
  <c r="D105" i="2" s="1"/>
  <c r="D112" i="2" s="1"/>
  <c r="D119" i="2" s="1"/>
  <c r="D126" i="2" s="1"/>
  <c r="D133" i="2" s="1"/>
  <c r="D140" i="2" s="1"/>
  <c r="D147" i="2" s="1"/>
  <c r="D154" i="2" s="1"/>
  <c r="D161" i="2" s="1"/>
  <c r="D168" i="2" s="1"/>
  <c r="D175" i="2" s="1"/>
  <c r="D20" i="2"/>
  <c r="D27" i="2" s="1"/>
  <c r="D34" i="2" s="1"/>
  <c r="D41" i="2" s="1"/>
  <c r="D48" i="2" s="1"/>
  <c r="D55" i="2" s="1"/>
  <c r="D62" i="2" s="1"/>
  <c r="D69" i="2" s="1"/>
  <c r="D76" i="2" s="1"/>
  <c r="D83" i="2" s="1"/>
  <c r="D90" i="2" s="1"/>
  <c r="D97" i="2" s="1"/>
  <c r="D104" i="2" s="1"/>
  <c r="D111" i="2" s="1"/>
  <c r="D118" i="2" s="1"/>
  <c r="D125" i="2" s="1"/>
  <c r="D132" i="2" s="1"/>
  <c r="D139" i="2" s="1"/>
  <c r="D146" i="2" s="1"/>
  <c r="D153" i="2" s="1"/>
  <c r="D160" i="2" s="1"/>
  <c r="D167" i="2" s="1"/>
  <c r="D174" i="2" s="1"/>
  <c r="D19" i="2"/>
  <c r="D26" i="2" s="1"/>
  <c r="D33" i="2" s="1"/>
  <c r="D40" i="2" s="1"/>
  <c r="D47" i="2" s="1"/>
  <c r="D54" i="2" s="1"/>
  <c r="D61" i="2" s="1"/>
  <c r="D68" i="2" s="1"/>
  <c r="D75" i="2" s="1"/>
  <c r="D82" i="2" s="1"/>
  <c r="D89" i="2" s="1"/>
  <c r="D96" i="2" s="1"/>
  <c r="D103" i="2" s="1"/>
  <c r="D110" i="2" s="1"/>
  <c r="D117" i="2" s="1"/>
  <c r="D124" i="2" s="1"/>
  <c r="D131" i="2" s="1"/>
  <c r="D138" i="2" s="1"/>
  <c r="D145" i="2" s="1"/>
  <c r="D152" i="2" s="1"/>
  <c r="D159" i="2" s="1"/>
  <c r="D166" i="2" s="1"/>
  <c r="D173" i="2" s="1"/>
  <c r="D18" i="2"/>
  <c r="D25" i="2" s="1"/>
  <c r="D32" i="2" s="1"/>
  <c r="D39" i="2" s="1"/>
  <c r="D46" i="2" s="1"/>
  <c r="D53" i="2" s="1"/>
  <c r="D60" i="2" s="1"/>
  <c r="D67" i="2" s="1"/>
  <c r="D74" i="2" s="1"/>
  <c r="D81" i="2" s="1"/>
  <c r="D88" i="2" s="1"/>
  <c r="D95" i="2" s="1"/>
  <c r="D102" i="2" s="1"/>
  <c r="D109" i="2" s="1"/>
  <c r="D116" i="2" s="1"/>
  <c r="D123" i="2" s="1"/>
  <c r="D130" i="2" s="1"/>
  <c r="D137" i="2" s="1"/>
  <c r="D144" i="2" s="1"/>
  <c r="D151" i="2" s="1"/>
  <c r="D158" i="2" s="1"/>
  <c r="D165" i="2" s="1"/>
  <c r="D172" i="2" s="1"/>
  <c r="D30" i="1"/>
  <c r="D37" i="1" s="1"/>
  <c r="D44" i="1" s="1"/>
  <c r="D51" i="1" s="1"/>
  <c r="D58" i="1" s="1"/>
  <c r="D65" i="1" s="1"/>
  <c r="D72" i="1" s="1"/>
  <c r="D79" i="1" s="1"/>
  <c r="D86" i="1" s="1"/>
  <c r="D93" i="1" s="1"/>
  <c r="D100" i="1" s="1"/>
  <c r="D107" i="1" s="1"/>
  <c r="D114" i="1" s="1"/>
  <c r="D121" i="1" s="1"/>
  <c r="D128" i="1" s="1"/>
  <c r="D135" i="1" s="1"/>
  <c r="D142" i="1" s="1"/>
  <c r="D149" i="1" s="1"/>
  <c r="D156" i="1" s="1"/>
  <c r="D163" i="1" s="1"/>
  <c r="D170" i="1" s="1"/>
  <c r="D177" i="1" s="1"/>
  <c r="D24" i="1"/>
  <c r="D31" i="1" s="1"/>
  <c r="D38" i="1" s="1"/>
  <c r="D45" i="1" s="1"/>
  <c r="D52" i="1" s="1"/>
  <c r="D59" i="1" s="1"/>
  <c r="D66" i="1" s="1"/>
  <c r="D73" i="1" s="1"/>
  <c r="D80" i="1" s="1"/>
  <c r="D87" i="1" s="1"/>
  <c r="D94" i="1" s="1"/>
  <c r="D101" i="1" s="1"/>
  <c r="D108" i="1" s="1"/>
  <c r="D115" i="1" s="1"/>
  <c r="D122" i="1" s="1"/>
  <c r="D129" i="1" s="1"/>
  <c r="D136" i="1" s="1"/>
  <c r="D143" i="1" s="1"/>
  <c r="D150" i="1" s="1"/>
  <c r="D157" i="1" s="1"/>
  <c r="D164" i="1" s="1"/>
  <c r="D171" i="1" s="1"/>
  <c r="D178" i="1" s="1"/>
  <c r="D23" i="1"/>
  <c r="D22" i="1"/>
  <c r="D29" i="1" s="1"/>
  <c r="D36" i="1" s="1"/>
  <c r="D43" i="1" s="1"/>
  <c r="D50" i="1" s="1"/>
  <c r="D57" i="1" s="1"/>
  <c r="D64" i="1" s="1"/>
  <c r="D71" i="1" s="1"/>
  <c r="D78" i="1" s="1"/>
  <c r="D85" i="1" s="1"/>
  <c r="D92" i="1" s="1"/>
  <c r="D99" i="1" s="1"/>
  <c r="D106" i="1" s="1"/>
  <c r="D113" i="1" s="1"/>
  <c r="D120" i="1" s="1"/>
  <c r="D127" i="1" s="1"/>
  <c r="D134" i="1" s="1"/>
  <c r="D141" i="1" s="1"/>
  <c r="D148" i="1" s="1"/>
  <c r="D155" i="1" s="1"/>
  <c r="D162" i="1" s="1"/>
  <c r="D169" i="1" s="1"/>
  <c r="D176" i="1" s="1"/>
  <c r="D21" i="1"/>
  <c r="D28" i="1" s="1"/>
  <c r="D35" i="1" s="1"/>
  <c r="D42" i="1" s="1"/>
  <c r="D49" i="1" s="1"/>
  <c r="D56" i="1" s="1"/>
  <c r="D63" i="1" s="1"/>
  <c r="D70" i="1" s="1"/>
  <c r="D77" i="1" s="1"/>
  <c r="D84" i="1" s="1"/>
  <c r="D91" i="1" s="1"/>
  <c r="D98" i="1" s="1"/>
  <c r="D105" i="1" s="1"/>
  <c r="D112" i="1" s="1"/>
  <c r="D119" i="1" s="1"/>
  <c r="D126" i="1" s="1"/>
  <c r="D133" i="1" s="1"/>
  <c r="D140" i="1" s="1"/>
  <c r="D147" i="1" s="1"/>
  <c r="D154" i="1" s="1"/>
  <c r="D161" i="1" s="1"/>
  <c r="D168" i="1" s="1"/>
  <c r="D175" i="1" s="1"/>
  <c r="D20" i="1"/>
  <c r="D27" i="1" s="1"/>
  <c r="D34" i="1" s="1"/>
  <c r="D41" i="1" s="1"/>
  <c r="D48" i="1" s="1"/>
  <c r="D55" i="1" s="1"/>
  <c r="D62" i="1" s="1"/>
  <c r="D69" i="1" s="1"/>
  <c r="D76" i="1" s="1"/>
  <c r="D83" i="1" s="1"/>
  <c r="D90" i="1" s="1"/>
  <c r="D97" i="1" s="1"/>
  <c r="D104" i="1" s="1"/>
  <c r="D111" i="1" s="1"/>
  <c r="D118" i="1" s="1"/>
  <c r="D125" i="1" s="1"/>
  <c r="D132" i="1" s="1"/>
  <c r="D139" i="1" s="1"/>
  <c r="D146" i="1" s="1"/>
  <c r="D153" i="1" s="1"/>
  <c r="D160" i="1" s="1"/>
  <c r="D167" i="1" s="1"/>
  <c r="D174" i="1" s="1"/>
  <c r="D19" i="1"/>
  <c r="D26" i="1" s="1"/>
  <c r="D33" i="1" s="1"/>
  <c r="D40" i="1" s="1"/>
  <c r="D47" i="1" s="1"/>
  <c r="D54" i="1" s="1"/>
  <c r="D61" i="1" s="1"/>
  <c r="D68" i="1" s="1"/>
  <c r="D75" i="1" s="1"/>
  <c r="D82" i="1" s="1"/>
  <c r="D89" i="1" s="1"/>
  <c r="D96" i="1" s="1"/>
  <c r="D103" i="1" s="1"/>
  <c r="D110" i="1" s="1"/>
  <c r="D117" i="1" s="1"/>
  <c r="D124" i="1" s="1"/>
  <c r="D131" i="1" s="1"/>
  <c r="D138" i="1" s="1"/>
  <c r="D145" i="1" s="1"/>
  <c r="D152" i="1" s="1"/>
  <c r="D159" i="1" s="1"/>
  <c r="D166" i="1" s="1"/>
  <c r="D173" i="1" s="1"/>
  <c r="D18" i="1"/>
  <c r="D25" i="1" s="1"/>
  <c r="D32" i="1" s="1"/>
  <c r="D39" i="1" s="1"/>
  <c r="D46" i="1" s="1"/>
  <c r="D53" i="1" s="1"/>
  <c r="D60" i="1" s="1"/>
  <c r="D67" i="1" s="1"/>
  <c r="D74" i="1" s="1"/>
  <c r="D81" i="1" s="1"/>
  <c r="D88" i="1" s="1"/>
  <c r="D95" i="1" s="1"/>
  <c r="D102" i="1" s="1"/>
  <c r="D109" i="1" s="1"/>
  <c r="D116" i="1" s="1"/>
  <c r="D123" i="1" s="1"/>
  <c r="D130" i="1" s="1"/>
  <c r="D137" i="1" s="1"/>
  <c r="D144" i="1" s="1"/>
  <c r="D151" i="1" s="1"/>
  <c r="D158" i="1" s="1"/>
  <c r="D165" i="1" s="1"/>
  <c r="D172" i="1" s="1"/>
  <c r="K12" i="3" l="1"/>
  <c r="J12" i="3"/>
  <c r="I13" i="3" s="1"/>
  <c r="H13" i="3" s="1"/>
  <c r="K13" i="3" l="1"/>
  <c r="J13" i="3"/>
  <c r="I14" i="3" l="1"/>
  <c r="H14" i="3" s="1"/>
  <c r="J14" i="3" l="1"/>
  <c r="I15" i="3" l="1"/>
  <c r="K14" i="3"/>
  <c r="K15" i="3" l="1"/>
  <c r="J15" i="3"/>
  <c r="I16" i="3" l="1"/>
  <c r="K16" i="3" l="1"/>
  <c r="J16" i="3"/>
  <c r="I17" i="3" l="1"/>
  <c r="J17" i="3" l="1"/>
  <c r="K17" i="3"/>
  <c r="I18" i="3" l="1"/>
  <c r="H18" i="3" s="1"/>
  <c r="J18" i="3" l="1"/>
  <c r="I19" i="3" s="1"/>
  <c r="H19" i="3" s="1"/>
  <c r="K19" i="3" l="1"/>
  <c r="K18" i="3"/>
  <c r="J19" i="3" l="1"/>
  <c r="I20" i="3" s="1"/>
  <c r="H20" i="3" s="1"/>
  <c r="K20" i="3" l="1"/>
  <c r="J20" i="3"/>
  <c r="I21" i="3" s="1"/>
  <c r="H21" i="3" s="1"/>
  <c r="K21" i="3" l="1"/>
  <c r="J21" i="3"/>
  <c r="I22" i="3" s="1"/>
  <c r="J22" i="3" l="1"/>
  <c r="I23" i="3" s="1"/>
  <c r="K22" i="3"/>
  <c r="J23" i="3" l="1"/>
  <c r="I24" i="3" s="1"/>
  <c r="K23" i="3"/>
  <c r="K24" i="3" l="1"/>
  <c r="J24" i="3"/>
  <c r="I25" i="3" s="1"/>
  <c r="H25" i="3" s="1"/>
  <c r="K25" i="3" l="1"/>
  <c r="J25" i="3" l="1"/>
  <c r="I26" i="3" s="1"/>
  <c r="H26" i="3" s="1"/>
  <c r="K26" i="3" l="1"/>
  <c r="J26" i="3" l="1"/>
  <c r="I27" i="3" s="1"/>
  <c r="H27" i="3" s="1"/>
  <c r="K27" i="3" l="1"/>
  <c r="J27" i="3" l="1"/>
  <c r="I28" i="3" s="1"/>
  <c r="H28" i="3" s="1"/>
  <c r="K28" i="3" l="1"/>
  <c r="J28" i="3" l="1"/>
  <c r="I29" i="3" s="1"/>
  <c r="J29" i="3" l="1"/>
  <c r="I30" i="3" s="1"/>
  <c r="K29" i="3"/>
  <c r="K30" i="3" l="1"/>
  <c r="J30" i="3"/>
  <c r="I31" i="3" s="1"/>
  <c r="J31" i="3" l="1"/>
  <c r="I32" i="3" s="1"/>
  <c r="H32" i="3" s="1"/>
  <c r="K31" i="3"/>
  <c r="K32" i="3" l="1"/>
  <c r="J32" i="3" l="1"/>
  <c r="I33" i="3" s="1"/>
  <c r="H33" i="3" s="1"/>
  <c r="K33" i="3" l="1"/>
  <c r="J33" i="3" l="1"/>
  <c r="I34" i="3" s="1"/>
  <c r="H34" i="3" s="1"/>
  <c r="K34" i="3" l="1"/>
  <c r="J34" i="3" l="1"/>
  <c r="I35" i="3" s="1"/>
  <c r="H35" i="3" s="1"/>
  <c r="K35" i="3" l="1"/>
  <c r="J35" i="3" l="1"/>
  <c r="I36" i="3" s="1"/>
  <c r="K36" i="3" l="1"/>
  <c r="J36" i="3"/>
  <c r="I37" i="3" s="1"/>
  <c r="J37" i="3" l="1"/>
  <c r="I38" i="3" s="1"/>
  <c r="K37" i="3"/>
  <c r="J38" i="3" l="1"/>
  <c r="I39" i="3" s="1"/>
  <c r="H39" i="3" s="1"/>
  <c r="K38" i="3"/>
  <c r="K39" i="3" l="1"/>
  <c r="J39" i="3" l="1"/>
  <c r="I40" i="3" s="1"/>
  <c r="H40" i="3" s="1"/>
  <c r="K40" i="3" l="1"/>
  <c r="J40" i="3" l="1"/>
  <c r="I41" i="3" s="1"/>
  <c r="H41" i="3" s="1"/>
  <c r="K41" i="3" l="1"/>
  <c r="J41" i="3" l="1"/>
  <c r="I42" i="3" s="1"/>
  <c r="H42" i="3" s="1"/>
  <c r="K42" i="3" l="1"/>
  <c r="J42" i="3" l="1"/>
  <c r="I43" i="3" s="1"/>
  <c r="J43" i="3" l="1"/>
  <c r="I44" i="3" s="1"/>
  <c r="K43" i="3"/>
  <c r="K44" i="3" l="1"/>
  <c r="J44" i="3"/>
  <c r="I45" i="3" s="1"/>
  <c r="K45" i="3" l="1"/>
  <c r="J45" i="3"/>
  <c r="I46" i="3" s="1"/>
  <c r="H46" i="3" s="1"/>
  <c r="K46" i="3" l="1"/>
  <c r="J46" i="3" l="1"/>
  <c r="I47" i="3" s="1"/>
  <c r="H47" i="3" s="1"/>
  <c r="K47" i="3" l="1"/>
  <c r="J47" i="3" l="1"/>
  <c r="I48" i="3" s="1"/>
  <c r="H48" i="3" s="1"/>
  <c r="K48" i="3" l="1"/>
  <c r="J48" i="3" l="1"/>
  <c r="I49" i="3" s="1"/>
  <c r="H49" i="3" s="1"/>
  <c r="K49" i="3" s="1"/>
  <c r="J49" i="3" l="1"/>
  <c r="I50" i="3" s="1"/>
  <c r="K50" i="3" l="1"/>
  <c r="J50" i="3"/>
  <c r="I51" i="3" s="1"/>
  <c r="J51" i="3" l="1"/>
  <c r="I52" i="3" s="1"/>
  <c r="K51" i="3"/>
  <c r="K52" i="3" l="1"/>
  <c r="J52" i="3"/>
  <c r="I53" i="3" s="1"/>
  <c r="H53" i="3" s="1"/>
  <c r="K53" i="3" l="1"/>
  <c r="J53" i="3" l="1"/>
  <c r="I54" i="3" s="1"/>
  <c r="H54" i="3" s="1"/>
  <c r="K54" i="3" l="1"/>
  <c r="J54" i="3" l="1"/>
  <c r="I55" i="3" s="1"/>
  <c r="H55" i="3" s="1"/>
  <c r="K55" i="3" l="1"/>
  <c r="J55" i="3" l="1"/>
  <c r="I56" i="3" s="1"/>
  <c r="H56" i="3" s="1"/>
  <c r="K56" i="3" l="1"/>
  <c r="J56" i="3" l="1"/>
  <c r="I57" i="3" s="1"/>
  <c r="J57" i="3" l="1"/>
  <c r="I58" i="3" s="1"/>
  <c r="K57" i="3"/>
  <c r="K58" i="3" l="1"/>
  <c r="J58" i="3"/>
  <c r="I59" i="3" s="1"/>
  <c r="J59" i="3" l="1"/>
  <c r="I60" i="3" s="1"/>
  <c r="H60" i="3" s="1"/>
  <c r="K59" i="3"/>
  <c r="K60" i="3" l="1"/>
  <c r="J60" i="3" l="1"/>
  <c r="I61" i="3" s="1"/>
  <c r="H61" i="3" s="1"/>
  <c r="K61" i="3" l="1"/>
  <c r="J61" i="3" l="1"/>
  <c r="I62" i="3" s="1"/>
  <c r="H62" i="3" s="1"/>
  <c r="K62" i="3" s="1"/>
  <c r="J62" i="3" l="1"/>
  <c r="I63" i="3" s="1"/>
  <c r="H63" i="3" s="1"/>
  <c r="K63" i="3" s="1"/>
  <c r="J63" i="3" l="1"/>
  <c r="I64" i="3" s="1"/>
  <c r="K64" i="3" l="1"/>
  <c r="J64" i="3"/>
  <c r="I65" i="3" s="1"/>
  <c r="J65" i="3" l="1"/>
  <c r="I66" i="3" s="1"/>
  <c r="K65" i="3"/>
  <c r="K66" i="3" l="1"/>
  <c r="J66" i="3"/>
  <c r="I67" i="3" s="1"/>
  <c r="H67" i="3" s="1"/>
  <c r="K67" i="3" l="1"/>
  <c r="J67" i="3" l="1"/>
  <c r="I68" i="3" s="1"/>
  <c r="H68" i="3" s="1"/>
  <c r="K68" i="3" l="1"/>
  <c r="J68" i="3" l="1"/>
  <c r="I69" i="3" s="1"/>
  <c r="H69" i="3" s="1"/>
  <c r="K69" i="3" l="1"/>
  <c r="J69" i="3" l="1"/>
  <c r="I70" i="3" s="1"/>
  <c r="H70" i="3" s="1"/>
  <c r="K70" i="3" l="1"/>
  <c r="J70" i="3" l="1"/>
  <c r="I71" i="3" s="1"/>
  <c r="J71" i="3" l="1"/>
  <c r="I72" i="3" s="1"/>
  <c r="K71" i="3"/>
  <c r="K72" i="3" l="1"/>
  <c r="J72" i="3"/>
  <c r="I73" i="3" s="1"/>
  <c r="J73" i="3" l="1"/>
  <c r="I74" i="3" s="1"/>
  <c r="H74" i="3" s="1"/>
  <c r="K73" i="3"/>
  <c r="K74" i="3" l="1"/>
  <c r="J74" i="3" l="1"/>
  <c r="I75" i="3" s="1"/>
  <c r="H75" i="3" s="1"/>
  <c r="K75" i="3" l="1"/>
  <c r="J75" i="3" l="1"/>
  <c r="I76" i="3" s="1"/>
  <c r="H76" i="3" s="1"/>
  <c r="K76" i="3" l="1"/>
  <c r="J76" i="3" l="1"/>
  <c r="I77" i="3" s="1"/>
  <c r="H77" i="3" s="1"/>
  <c r="K77" i="3" l="1"/>
  <c r="J77" i="3" l="1"/>
  <c r="I78" i="3" s="1"/>
  <c r="K78" i="3" l="1"/>
  <c r="J78" i="3"/>
  <c r="I79" i="3" s="1"/>
  <c r="J79" i="3" l="1"/>
  <c r="I80" i="3" s="1"/>
  <c r="K79" i="3"/>
  <c r="K80" i="3" l="1"/>
  <c r="J80" i="3"/>
  <c r="I81" i="3" s="1"/>
  <c r="H81" i="3" s="1"/>
  <c r="K81" i="3" l="1"/>
  <c r="J81" i="3" l="1"/>
  <c r="I82" i="3" s="1"/>
  <c r="H82" i="3" s="1"/>
  <c r="K82" i="3" l="1"/>
  <c r="J82" i="3" l="1"/>
  <c r="I83" i="3" s="1"/>
  <c r="H83" i="3" s="1"/>
  <c r="K83" i="3" l="1"/>
  <c r="J83" i="3" l="1"/>
  <c r="I84" i="3" s="1"/>
  <c r="H84" i="3" s="1"/>
  <c r="K84" i="3" l="1"/>
  <c r="J84" i="3" l="1"/>
  <c r="I85" i="3" s="1"/>
  <c r="J85" i="3" l="1"/>
  <c r="I86" i="3" s="1"/>
  <c r="K85" i="3"/>
  <c r="J86" i="3" l="1"/>
  <c r="I87" i="3" s="1"/>
  <c r="K86" i="3"/>
  <c r="J87" i="3" l="1"/>
  <c r="I88" i="3" s="1"/>
  <c r="H88" i="3" s="1"/>
  <c r="K87" i="3"/>
  <c r="K88" i="3" l="1"/>
  <c r="J88" i="3" l="1"/>
  <c r="I89" i="3" s="1"/>
  <c r="H89" i="3" s="1"/>
  <c r="K89" i="3" l="1"/>
  <c r="J89" i="3" l="1"/>
  <c r="I90" i="3" s="1"/>
  <c r="H90" i="3" s="1"/>
  <c r="K90" i="3" l="1"/>
  <c r="J90" i="3" l="1"/>
  <c r="I91" i="3" s="1"/>
  <c r="H91" i="3" s="1"/>
  <c r="K91" i="3" l="1"/>
  <c r="J91" i="3" l="1"/>
  <c r="I92" i="3" s="1"/>
  <c r="K92" i="3" l="1"/>
  <c r="J92" i="3"/>
  <c r="I93" i="3" s="1"/>
  <c r="J93" i="3" l="1"/>
  <c r="I94" i="3" s="1"/>
  <c r="K93" i="3"/>
  <c r="J94" i="3" l="1"/>
  <c r="I95" i="3" s="1"/>
  <c r="H95" i="3" s="1"/>
  <c r="K94" i="3"/>
  <c r="K95" i="3" l="1"/>
  <c r="J95" i="3" l="1"/>
  <c r="I96" i="3" s="1"/>
  <c r="H96" i="3" s="1"/>
  <c r="K96" i="3" l="1"/>
  <c r="J96" i="3" l="1"/>
  <c r="I97" i="3" s="1"/>
  <c r="H97" i="3" s="1"/>
  <c r="K97" i="3" l="1"/>
  <c r="J97" i="3" l="1"/>
  <c r="I98" i="3" s="1"/>
  <c r="H98" i="3" s="1"/>
  <c r="K98" i="3" l="1"/>
  <c r="J98" i="3" l="1"/>
  <c r="I99" i="3" s="1"/>
  <c r="H99" i="3" s="1"/>
  <c r="K99" i="3" l="1"/>
  <c r="J99" i="3" l="1"/>
  <c r="I100" i="3" s="1"/>
  <c r="J100" i="3" l="1"/>
  <c r="I101" i="3" s="1"/>
  <c r="K100" i="3"/>
  <c r="K101" i="3" l="1"/>
  <c r="J101" i="3"/>
  <c r="I102" i="3" s="1"/>
  <c r="H102" i="3" s="1"/>
  <c r="K102" i="3" l="1"/>
  <c r="J102" i="3" l="1"/>
  <c r="I103" i="3" s="1"/>
  <c r="H103" i="3" s="1"/>
  <c r="K103" i="3" l="1"/>
  <c r="J103" i="3" l="1"/>
  <c r="I104" i="3" s="1"/>
  <c r="H104" i="3" s="1"/>
  <c r="K104" i="3" l="1"/>
  <c r="J104" i="3" l="1"/>
  <c r="I105" i="3" s="1"/>
  <c r="H105" i="3" s="1"/>
  <c r="K105" i="3" l="1"/>
  <c r="J105" i="3" l="1"/>
  <c r="I106" i="3" s="1"/>
  <c r="H106" i="3" s="1"/>
  <c r="K106" i="3" l="1"/>
  <c r="J106" i="3" l="1"/>
  <c r="I107" i="3" s="1"/>
  <c r="J107" i="3" l="1"/>
  <c r="I108" i="3" s="1"/>
  <c r="K107" i="3"/>
  <c r="J108" i="3" l="1"/>
  <c r="I109" i="3" s="1"/>
  <c r="H109" i="3" s="1"/>
  <c r="K108" i="3"/>
  <c r="K109" i="3" l="1"/>
  <c r="J109" i="3" l="1"/>
  <c r="I110" i="3" s="1"/>
  <c r="H110" i="3" s="1"/>
  <c r="K110" i="3" l="1"/>
  <c r="J110" i="3" l="1"/>
  <c r="I111" i="3" s="1"/>
  <c r="H111" i="3" s="1"/>
  <c r="K111" i="3" l="1"/>
  <c r="J111" i="3" l="1"/>
  <c r="I112" i="3" s="1"/>
  <c r="H112" i="3" s="1"/>
  <c r="K112" i="3" l="1"/>
  <c r="J112" i="3" l="1"/>
  <c r="I113" i="3" s="1"/>
  <c r="H113" i="3" s="1"/>
  <c r="K113" i="3" l="1"/>
  <c r="J113" i="3" l="1"/>
  <c r="I114" i="3" s="1"/>
  <c r="J114" i="3" l="1"/>
  <c r="I115" i="3" s="1"/>
  <c r="K114" i="3"/>
  <c r="K115" i="3" l="1"/>
  <c r="J115" i="3"/>
  <c r="I116" i="3" s="1"/>
  <c r="H116" i="3" s="1"/>
  <c r="K116" i="3" l="1"/>
  <c r="J116" i="3" l="1"/>
  <c r="I117" i="3" s="1"/>
  <c r="H117" i="3" s="1"/>
  <c r="K117" i="3" l="1"/>
  <c r="J117" i="3" l="1"/>
  <c r="I118" i="3" s="1"/>
  <c r="H118" i="3" s="1"/>
  <c r="K118" i="3" l="1"/>
  <c r="J118" i="3" l="1"/>
  <c r="I119" i="3" s="1"/>
  <c r="H119" i="3" s="1"/>
  <c r="K119" i="3" l="1"/>
  <c r="J119" i="3" l="1"/>
  <c r="I120" i="3" s="1"/>
  <c r="H120" i="3" s="1"/>
  <c r="K120" i="3" l="1"/>
  <c r="J120" i="3" l="1"/>
  <c r="I121" i="3" s="1"/>
  <c r="J121" i="3" l="1"/>
  <c r="I122" i="3" s="1"/>
  <c r="K121" i="3"/>
  <c r="J122" i="3" l="1"/>
  <c r="I123" i="3" s="1"/>
  <c r="H123" i="3" s="1"/>
  <c r="K122" i="3"/>
  <c r="K123" i="3" l="1"/>
  <c r="J123" i="3" l="1"/>
  <c r="I124" i="3" s="1"/>
  <c r="H124" i="3" s="1"/>
  <c r="K124" i="3" l="1"/>
  <c r="J124" i="3" l="1"/>
  <c r="I125" i="3" s="1"/>
  <c r="H125" i="3" s="1"/>
  <c r="K125" i="3" l="1"/>
  <c r="J125" i="3" l="1"/>
  <c r="I126" i="3" s="1"/>
  <c r="H126" i="3" s="1"/>
  <c r="K126" i="3" l="1"/>
  <c r="J126" i="3" l="1"/>
  <c r="I127" i="3" s="1"/>
  <c r="H127" i="3" s="1"/>
  <c r="K127" i="3" l="1"/>
  <c r="J127" i="3" l="1"/>
  <c r="I128" i="3" s="1"/>
  <c r="J128" i="3" l="1"/>
  <c r="I129" i="3" s="1"/>
  <c r="K128" i="3"/>
  <c r="K129" i="3" l="1"/>
  <c r="J129" i="3"/>
  <c r="I130" i="3" s="1"/>
  <c r="H130" i="3" s="1"/>
  <c r="K130" i="3" l="1"/>
  <c r="J130" i="3" l="1"/>
  <c r="I131" i="3" s="1"/>
  <c r="H131" i="3" s="1"/>
  <c r="K131" i="3" l="1"/>
  <c r="J131" i="3" l="1"/>
  <c r="I132" i="3" s="1"/>
  <c r="H132" i="3" s="1"/>
  <c r="K132" i="3" l="1"/>
  <c r="J132" i="3" l="1"/>
  <c r="I133" i="3" s="1"/>
  <c r="H133" i="3" s="1"/>
  <c r="K133" i="3" l="1"/>
  <c r="J133" i="3" l="1"/>
  <c r="I134" i="3" s="1"/>
  <c r="H134" i="3" s="1"/>
  <c r="K134" i="3" l="1"/>
  <c r="J134" i="3" l="1"/>
  <c r="I135" i="3" s="1"/>
  <c r="J135" i="3" l="1"/>
  <c r="I136" i="3" s="1"/>
  <c r="K135" i="3"/>
  <c r="J136" i="3" l="1"/>
  <c r="I137" i="3" s="1"/>
  <c r="H137" i="3" s="1"/>
  <c r="K136" i="3"/>
  <c r="K137" i="3" l="1"/>
  <c r="J137" i="3" l="1"/>
  <c r="I138" i="3" s="1"/>
  <c r="H138" i="3" s="1"/>
  <c r="K138" i="3" l="1"/>
  <c r="J138" i="3" l="1"/>
  <c r="I139" i="3" s="1"/>
  <c r="H139" i="3" s="1"/>
  <c r="K139" i="3" l="1"/>
  <c r="J139" i="3" l="1"/>
  <c r="I140" i="3" s="1"/>
  <c r="H140" i="3" s="1"/>
  <c r="K140" i="3" l="1"/>
  <c r="J140" i="3" l="1"/>
  <c r="I141" i="3" s="1"/>
  <c r="H141" i="3" s="1"/>
  <c r="K141" i="3" l="1"/>
  <c r="J141" i="3" l="1"/>
  <c r="I142" i="3" s="1"/>
  <c r="H142" i="3" s="1"/>
  <c r="K142" i="3" l="1"/>
  <c r="J142" i="3" l="1"/>
  <c r="I143" i="3" s="1"/>
  <c r="J143" i="3" l="1"/>
  <c r="I144" i="3" s="1"/>
  <c r="H144" i="3" s="1"/>
  <c r="K143" i="3"/>
  <c r="K144" i="3" l="1"/>
  <c r="J144" i="3" l="1"/>
  <c r="I145" i="3" s="1"/>
  <c r="H145" i="3" s="1"/>
  <c r="K145" i="3" l="1"/>
  <c r="J145" i="3" l="1"/>
  <c r="I146" i="3" s="1"/>
  <c r="H146" i="3" s="1"/>
  <c r="K146" i="3" l="1"/>
  <c r="J146" i="3" l="1"/>
  <c r="I147" i="3" s="1"/>
  <c r="H147" i="3" s="1"/>
  <c r="K147" i="3" l="1"/>
  <c r="J147" i="3" l="1"/>
  <c r="I148" i="3" s="1"/>
  <c r="H148" i="3" s="1"/>
  <c r="K148" i="3" l="1"/>
  <c r="J148" i="3" l="1"/>
  <c r="I149" i="3" s="1"/>
  <c r="H149" i="3" s="1"/>
  <c r="K149" i="3" l="1"/>
  <c r="J149" i="3" l="1"/>
  <c r="I150" i="3" s="1"/>
  <c r="K150" i="3" l="1"/>
  <c r="J150" i="3"/>
  <c r="I151" i="3" s="1"/>
  <c r="H151" i="3" s="1"/>
  <c r="K151" i="3" l="1"/>
  <c r="J151" i="3" l="1"/>
  <c r="I152" i="3" s="1"/>
  <c r="H152" i="3" s="1"/>
  <c r="K152" i="3" l="1"/>
  <c r="J152" i="3" l="1"/>
  <c r="I153" i="3" s="1"/>
  <c r="H153" i="3" s="1"/>
  <c r="K153" i="3" l="1"/>
  <c r="J153" i="3" l="1"/>
  <c r="I154" i="3" s="1"/>
  <c r="H154" i="3" s="1"/>
  <c r="K154" i="3" l="1"/>
  <c r="J154" i="3" l="1"/>
  <c r="I155" i="3" s="1"/>
  <c r="H155" i="3" s="1"/>
  <c r="K155" i="3" l="1"/>
  <c r="J155" i="3" l="1"/>
  <c r="I156" i="3" s="1"/>
  <c r="H156" i="3" s="1"/>
  <c r="K156" i="3" l="1"/>
  <c r="J156" i="3" l="1"/>
  <c r="I157" i="3" s="1"/>
  <c r="K157" i="3" l="1"/>
  <c r="J157" i="3"/>
  <c r="I158" i="3" s="1"/>
  <c r="H158" i="3" s="1"/>
  <c r="K158" i="3" l="1"/>
  <c r="J158" i="3" l="1"/>
  <c r="I159" i="3" s="1"/>
  <c r="H159" i="3" s="1"/>
  <c r="K159" i="3" l="1"/>
  <c r="J159" i="3" l="1"/>
  <c r="I160" i="3" s="1"/>
  <c r="H160" i="3" s="1"/>
  <c r="K160" i="3" l="1"/>
  <c r="J160" i="3" l="1"/>
  <c r="I161" i="3" s="1"/>
  <c r="H161" i="3" s="1"/>
  <c r="K161" i="3" l="1"/>
  <c r="J161" i="3" l="1"/>
  <c r="I162" i="3" s="1"/>
  <c r="H162" i="3" s="1"/>
  <c r="K162" i="3" s="1"/>
  <c r="J162" i="3" l="1"/>
  <c r="I163" i="3" s="1"/>
  <c r="H163" i="3" s="1"/>
  <c r="K163" i="3" l="1"/>
  <c r="J163" i="3" l="1"/>
  <c r="I164" i="3" s="1"/>
  <c r="J164" i="3" l="1"/>
  <c r="I165" i="3" s="1"/>
  <c r="H165" i="3" s="1"/>
  <c r="K164" i="3"/>
  <c r="K165" i="3" l="1"/>
  <c r="J165" i="3" l="1"/>
  <c r="I166" i="3" s="1"/>
  <c r="H166" i="3" s="1"/>
  <c r="K166" i="3" l="1"/>
  <c r="J166" i="3" l="1"/>
  <c r="I167" i="3" s="1"/>
  <c r="H167" i="3" s="1"/>
  <c r="K167" i="3" l="1"/>
  <c r="J167" i="3" l="1"/>
  <c r="I168" i="3" s="1"/>
  <c r="H168" i="3" s="1"/>
  <c r="K168" i="3" l="1"/>
  <c r="J168" i="3" l="1"/>
  <c r="I169" i="3" s="1"/>
  <c r="H169" i="3" s="1"/>
  <c r="K169" i="3" l="1"/>
  <c r="J169" i="3" l="1"/>
  <c r="I170" i="3" s="1"/>
  <c r="H170" i="3" s="1"/>
  <c r="K170" i="3" l="1"/>
  <c r="J170" i="3" l="1"/>
  <c r="I171" i="3" s="1"/>
  <c r="J171" i="3" l="1"/>
  <c r="I172" i="3" s="1"/>
  <c r="H172" i="3" s="1"/>
  <c r="K171" i="3"/>
  <c r="K172" i="3" l="1"/>
  <c r="J172" i="3" l="1"/>
  <c r="I173" i="3" s="1"/>
  <c r="H173" i="3" s="1"/>
  <c r="K173" i="3" l="1"/>
  <c r="J173" i="3" l="1"/>
  <c r="I174" i="3" s="1"/>
  <c r="H174" i="3" s="1"/>
  <c r="K174" i="3" l="1"/>
  <c r="J174" i="3" l="1"/>
  <c r="I175" i="3" s="1"/>
  <c r="H175" i="3" s="1"/>
  <c r="K175" i="3" l="1"/>
  <c r="J175" i="3" l="1"/>
  <c r="I176" i="3" s="1"/>
  <c r="H176" i="3" s="1"/>
  <c r="K176" i="3" l="1"/>
  <c r="J176" i="3" l="1"/>
  <c r="I177" i="3" s="1"/>
  <c r="H177" i="3" s="1"/>
  <c r="K177" i="3" l="1"/>
  <c r="H5" i="3" s="1"/>
  <c r="H3" i="3"/>
  <c r="H2" i="3"/>
  <c r="J177" i="3"/>
  <c r="I178" i="3" s="1"/>
  <c r="J178" i="3" l="1"/>
  <c r="K178" i="3"/>
  <c r="J8" i="3" l="1"/>
  <c r="H4" i="3"/>
  <c r="J7" i="3"/>
  <c r="J4" i="3"/>
  <c r="J2" i="3"/>
  <c r="AD11" i="3" a="1"/>
  <c r="AD11" i="3" s="1"/>
  <c r="J3" i="3"/>
  <c r="J5" i="3"/>
  <c r="J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<sst xmlns="http://schemas.openxmlformats.org/spreadsheetml/2006/main" count="99" uniqueCount="44">
  <si>
    <t>block num.</t>
  </si>
  <si>
    <r>
      <t>day num. (</t>
    </r>
    <r>
      <rPr>
        <i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)</t>
    </r>
  </si>
  <si>
    <t>day of the week</t>
  </si>
  <si>
    <t>Logging active?</t>
  </si>
  <si>
    <t>sawmill active?</t>
  </si>
  <si>
    <r>
      <t>No. of logs added to log pond:</t>
    </r>
    <r>
      <rPr>
        <sz val="12"/>
        <color theme="1"/>
        <rFont val="Calibri"/>
        <family val="2"/>
        <scheme val="minor"/>
      </rPr>
      <t xml:space="preserve"> A</t>
    </r>
    <r>
      <rPr>
        <i/>
        <vertAlign val="subscript"/>
        <sz val="12"/>
        <color theme="1"/>
        <rFont val="Calibri"/>
        <family val="2"/>
        <scheme val="minor"/>
      </rPr>
      <t>t</t>
    </r>
  </si>
  <si>
    <r>
      <t xml:space="preserve">No. of logs cut in sawmill:   </t>
    </r>
    <r>
      <rPr>
        <sz val="12"/>
        <color theme="1"/>
        <rFont val="Calibri"/>
        <family val="2"/>
        <scheme val="minor"/>
      </rPr>
      <t>C</t>
    </r>
    <r>
      <rPr>
        <i/>
        <vertAlign val="subscript"/>
        <sz val="12"/>
        <color theme="1"/>
        <rFont val="Calibri"/>
        <family val="2"/>
        <scheme val="minor"/>
      </rPr>
      <t>t</t>
    </r>
  </si>
  <si>
    <t>Tellend Logging</t>
  </si>
  <si>
    <t>Data for last year's season</t>
  </si>
  <si>
    <t>Final log pond size: 345</t>
  </si>
  <si>
    <r>
      <t>LPS_end</t>
    </r>
    <r>
      <rPr>
        <vertAlign val="subscript"/>
        <sz val="11"/>
        <color theme="1"/>
        <rFont val="Calibri"/>
        <family val="2"/>
        <scheme val="minor"/>
      </rPr>
      <t>t</t>
    </r>
  </si>
  <si>
    <r>
      <t>LPS_start</t>
    </r>
    <r>
      <rPr>
        <vertAlign val="subscript"/>
        <sz val="11"/>
        <color theme="1"/>
        <rFont val="Calibri"/>
        <family val="2"/>
        <scheme val="minor"/>
      </rPr>
      <t>t</t>
    </r>
  </si>
  <si>
    <t>Average:</t>
  </si>
  <si>
    <t>Minimum:</t>
  </si>
  <si>
    <t>Maximum:</t>
  </si>
  <si>
    <t>Std.Dev.</t>
  </si>
  <si>
    <t>Range:</t>
  </si>
  <si>
    <t>Final size:</t>
  </si>
  <si>
    <t>Custom
Labels</t>
  </si>
  <si>
    <t>bins</t>
  </si>
  <si>
    <t>frequency</t>
  </si>
  <si>
    <t>more</t>
  </si>
  <si>
    <t>Shortfall?</t>
  </si>
  <si>
    <t>Shortfalls:</t>
  </si>
  <si>
    <t>Average (including all the zeros):</t>
  </si>
  <si>
    <t>Average (No zeros):</t>
  </si>
  <si>
    <t>Average(Shortfall days):</t>
  </si>
  <si>
    <t>Average(Non-Shortfall days):</t>
  </si>
  <si>
    <t>Block:</t>
  </si>
  <si>
    <t>Days:</t>
  </si>
  <si>
    <t>Sawmill schedule</t>
  </si>
  <si>
    <t>Logs cut:</t>
  </si>
  <si>
    <r>
      <t>C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: no zeroes or shortfalls</t>
    </r>
  </si>
  <si>
    <t>Count:</t>
  </si>
  <si>
    <t>Upper:</t>
  </si>
  <si>
    <t>Lower:</t>
  </si>
  <si>
    <t>Repliation number:</t>
  </si>
  <si>
    <t>Average log pond</t>
  </si>
  <si>
    <t>Min</t>
  </si>
  <si>
    <t>Max</t>
  </si>
  <si>
    <t>Std.dev</t>
  </si>
  <si>
    <t>Range</t>
  </si>
  <si>
    <t>Final log pond size</t>
  </si>
  <si>
    <t>Num.of shortfalls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</si>
</sst>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vertAlign val="subscript"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rgb="FF00008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0" xfId="0" applyFill="1" applyBorder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1" fillId="2" borderId="0" xfId="0" applyFont="1" applyFill="1" applyBorder="1"/>
    <xf numFmtId="0" fontId="0" fillId="0" borderId="0" xfId="0" applyFill="1" applyBorder="1"/>
    <xf numFmtId="0" fontId="0" fillId="2" borderId="0" xfId="0" applyFill="1" applyBorder="1" applyAlignment="1">
      <alignment horizontal="right"/>
    </xf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2" borderId="1" xfId="0" applyFill="1" applyBorder="1" applyAlignment="1">
      <alignment horizontal="right"/>
    </xf>
    <xf numFmtId="9" fontId="0" fillId="2" borderId="0" xfId="0" applyNumberFormat="1" applyFill="1" applyBorder="1"/>
  </cellXfs>
  <cellStyles count="1">
    <cellStyle name="Normal" xfId="0" builtinId="0"/>
  </cellStyles>
  <dxfs count="11"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'Logging Data'!$J$11:$J$178</c:f>
              <c:numCache>
                <c:formatCode>General</c:formatCode>
                <c:ptCount val="168"/>
                <c:pt idx="0">
                  <c:v>45</c:v>
                </c:pt>
                <c:pt idx="1">
                  <c:v>73</c:v>
                </c:pt>
                <c:pt idx="2">
                  <c:v>55</c:v>
                </c:pt>
                <c:pt idx="3">
                  <c:v>40</c:v>
                </c:pt>
                <c:pt idx="4">
                  <c:v>124</c:v>
                </c:pt>
                <c:pt idx="5">
                  <c:v>124</c:v>
                </c:pt>
                <c:pt idx="6">
                  <c:v>124</c:v>
                </c:pt>
                <c:pt idx="7">
                  <c:v>84</c:v>
                </c:pt>
                <c:pt idx="8">
                  <c:v>46</c:v>
                </c:pt>
                <c:pt idx="9">
                  <c:v>59</c:v>
                </c:pt>
                <c:pt idx="10">
                  <c:v>73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112</c:v>
                </c:pt>
                <c:pt idx="15">
                  <c:v>96</c:v>
                </c:pt>
                <c:pt idx="16">
                  <c:v>95</c:v>
                </c:pt>
                <c:pt idx="17">
                  <c:v>104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136</c:v>
                </c:pt>
                <c:pt idx="22">
                  <c:v>86</c:v>
                </c:pt>
                <c:pt idx="23">
                  <c:v>86</c:v>
                </c:pt>
                <c:pt idx="24">
                  <c:v>93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124</c:v>
                </c:pt>
                <c:pt idx="29">
                  <c:v>79</c:v>
                </c:pt>
                <c:pt idx="30">
                  <c:v>90</c:v>
                </c:pt>
                <c:pt idx="31">
                  <c:v>105</c:v>
                </c:pt>
                <c:pt idx="32">
                  <c:v>204</c:v>
                </c:pt>
                <c:pt idx="33">
                  <c:v>204</c:v>
                </c:pt>
                <c:pt idx="34">
                  <c:v>204</c:v>
                </c:pt>
                <c:pt idx="35">
                  <c:v>199</c:v>
                </c:pt>
                <c:pt idx="36">
                  <c:v>144</c:v>
                </c:pt>
                <c:pt idx="37">
                  <c:v>117</c:v>
                </c:pt>
                <c:pt idx="38">
                  <c:v>84</c:v>
                </c:pt>
                <c:pt idx="39">
                  <c:v>206</c:v>
                </c:pt>
                <c:pt idx="40">
                  <c:v>206</c:v>
                </c:pt>
                <c:pt idx="41">
                  <c:v>206</c:v>
                </c:pt>
                <c:pt idx="42">
                  <c:v>184</c:v>
                </c:pt>
                <c:pt idx="43">
                  <c:v>66</c:v>
                </c:pt>
                <c:pt idx="44">
                  <c:v>38</c:v>
                </c:pt>
                <c:pt idx="45">
                  <c:v>141</c:v>
                </c:pt>
                <c:pt idx="46">
                  <c:v>262</c:v>
                </c:pt>
                <c:pt idx="47">
                  <c:v>262</c:v>
                </c:pt>
                <c:pt idx="48">
                  <c:v>262</c:v>
                </c:pt>
                <c:pt idx="49">
                  <c:v>203</c:v>
                </c:pt>
                <c:pt idx="50">
                  <c:v>125</c:v>
                </c:pt>
                <c:pt idx="51">
                  <c:v>126</c:v>
                </c:pt>
                <c:pt idx="52">
                  <c:v>129</c:v>
                </c:pt>
                <c:pt idx="53">
                  <c:v>231</c:v>
                </c:pt>
                <c:pt idx="54">
                  <c:v>231</c:v>
                </c:pt>
                <c:pt idx="55">
                  <c:v>231</c:v>
                </c:pt>
                <c:pt idx="56">
                  <c:v>219</c:v>
                </c:pt>
                <c:pt idx="57">
                  <c:v>180</c:v>
                </c:pt>
                <c:pt idx="58">
                  <c:v>163</c:v>
                </c:pt>
                <c:pt idx="59">
                  <c:v>151</c:v>
                </c:pt>
                <c:pt idx="60">
                  <c:v>262</c:v>
                </c:pt>
                <c:pt idx="61">
                  <c:v>262</c:v>
                </c:pt>
                <c:pt idx="62">
                  <c:v>262</c:v>
                </c:pt>
                <c:pt idx="63">
                  <c:v>269</c:v>
                </c:pt>
                <c:pt idx="64">
                  <c:v>273</c:v>
                </c:pt>
                <c:pt idx="65">
                  <c:v>302</c:v>
                </c:pt>
                <c:pt idx="66">
                  <c:v>324</c:v>
                </c:pt>
                <c:pt idx="67">
                  <c:v>472</c:v>
                </c:pt>
                <c:pt idx="68">
                  <c:v>472</c:v>
                </c:pt>
                <c:pt idx="69">
                  <c:v>472</c:v>
                </c:pt>
                <c:pt idx="70">
                  <c:v>503</c:v>
                </c:pt>
                <c:pt idx="71">
                  <c:v>535</c:v>
                </c:pt>
                <c:pt idx="72">
                  <c:v>510</c:v>
                </c:pt>
                <c:pt idx="73">
                  <c:v>531</c:v>
                </c:pt>
                <c:pt idx="74">
                  <c:v>656</c:v>
                </c:pt>
                <c:pt idx="75">
                  <c:v>656</c:v>
                </c:pt>
                <c:pt idx="76">
                  <c:v>656</c:v>
                </c:pt>
                <c:pt idx="77">
                  <c:v>650</c:v>
                </c:pt>
                <c:pt idx="78">
                  <c:v>673</c:v>
                </c:pt>
                <c:pt idx="79">
                  <c:v>681</c:v>
                </c:pt>
                <c:pt idx="80">
                  <c:v>680</c:v>
                </c:pt>
                <c:pt idx="81">
                  <c:v>838</c:v>
                </c:pt>
                <c:pt idx="82">
                  <c:v>838</c:v>
                </c:pt>
                <c:pt idx="83">
                  <c:v>838</c:v>
                </c:pt>
                <c:pt idx="84">
                  <c:v>841</c:v>
                </c:pt>
                <c:pt idx="85">
                  <c:v>844</c:v>
                </c:pt>
                <c:pt idx="86">
                  <c:v>811</c:v>
                </c:pt>
                <c:pt idx="87">
                  <c:v>805</c:v>
                </c:pt>
                <c:pt idx="88">
                  <c:v>829</c:v>
                </c:pt>
                <c:pt idx="89">
                  <c:v>829</c:v>
                </c:pt>
                <c:pt idx="90">
                  <c:v>829</c:v>
                </c:pt>
                <c:pt idx="91">
                  <c:v>840</c:v>
                </c:pt>
                <c:pt idx="92">
                  <c:v>829</c:v>
                </c:pt>
                <c:pt idx="93">
                  <c:v>858</c:v>
                </c:pt>
                <c:pt idx="94">
                  <c:v>843</c:v>
                </c:pt>
                <c:pt idx="95">
                  <c:v>832</c:v>
                </c:pt>
                <c:pt idx="96">
                  <c:v>832</c:v>
                </c:pt>
                <c:pt idx="97">
                  <c:v>832</c:v>
                </c:pt>
                <c:pt idx="98">
                  <c:v>875</c:v>
                </c:pt>
                <c:pt idx="99">
                  <c:v>884</c:v>
                </c:pt>
                <c:pt idx="100">
                  <c:v>862</c:v>
                </c:pt>
                <c:pt idx="101">
                  <c:v>928</c:v>
                </c:pt>
                <c:pt idx="102">
                  <c:v>924</c:v>
                </c:pt>
                <c:pt idx="103">
                  <c:v>924</c:v>
                </c:pt>
                <c:pt idx="104">
                  <c:v>924</c:v>
                </c:pt>
                <c:pt idx="105">
                  <c:v>801</c:v>
                </c:pt>
                <c:pt idx="106">
                  <c:v>829</c:v>
                </c:pt>
                <c:pt idx="107">
                  <c:v>857</c:v>
                </c:pt>
                <c:pt idx="108">
                  <c:v>847</c:v>
                </c:pt>
                <c:pt idx="109">
                  <c:v>838</c:v>
                </c:pt>
                <c:pt idx="110">
                  <c:v>838</c:v>
                </c:pt>
                <c:pt idx="111">
                  <c:v>838</c:v>
                </c:pt>
                <c:pt idx="112">
                  <c:v>832</c:v>
                </c:pt>
                <c:pt idx="113">
                  <c:v>863</c:v>
                </c:pt>
                <c:pt idx="114">
                  <c:v>892</c:v>
                </c:pt>
                <c:pt idx="115">
                  <c:v>929</c:v>
                </c:pt>
                <c:pt idx="116">
                  <c:v>931</c:v>
                </c:pt>
                <c:pt idx="117">
                  <c:v>931</c:v>
                </c:pt>
                <c:pt idx="118">
                  <c:v>931</c:v>
                </c:pt>
                <c:pt idx="119">
                  <c:v>944</c:v>
                </c:pt>
                <c:pt idx="120">
                  <c:v>939</c:v>
                </c:pt>
                <c:pt idx="121">
                  <c:v>949</c:v>
                </c:pt>
                <c:pt idx="122">
                  <c:v>945</c:v>
                </c:pt>
                <c:pt idx="123">
                  <c:v>998</c:v>
                </c:pt>
                <c:pt idx="124">
                  <c:v>998</c:v>
                </c:pt>
                <c:pt idx="125">
                  <c:v>998</c:v>
                </c:pt>
                <c:pt idx="126">
                  <c:v>1010</c:v>
                </c:pt>
                <c:pt idx="127">
                  <c:v>1004</c:v>
                </c:pt>
                <c:pt idx="128">
                  <c:v>863</c:v>
                </c:pt>
                <c:pt idx="129">
                  <c:v>893</c:v>
                </c:pt>
                <c:pt idx="130">
                  <c:v>903</c:v>
                </c:pt>
                <c:pt idx="131">
                  <c:v>764</c:v>
                </c:pt>
                <c:pt idx="132">
                  <c:v>764</c:v>
                </c:pt>
                <c:pt idx="133">
                  <c:v>776</c:v>
                </c:pt>
                <c:pt idx="134">
                  <c:v>812</c:v>
                </c:pt>
                <c:pt idx="135">
                  <c:v>819</c:v>
                </c:pt>
                <c:pt idx="136">
                  <c:v>821</c:v>
                </c:pt>
                <c:pt idx="137">
                  <c:v>817</c:v>
                </c:pt>
                <c:pt idx="138">
                  <c:v>683</c:v>
                </c:pt>
                <c:pt idx="139">
                  <c:v>683</c:v>
                </c:pt>
                <c:pt idx="140">
                  <c:v>731</c:v>
                </c:pt>
                <c:pt idx="141">
                  <c:v>765</c:v>
                </c:pt>
                <c:pt idx="142">
                  <c:v>794</c:v>
                </c:pt>
                <c:pt idx="143">
                  <c:v>806</c:v>
                </c:pt>
                <c:pt idx="144">
                  <c:v>810</c:v>
                </c:pt>
                <c:pt idx="145">
                  <c:v>652</c:v>
                </c:pt>
                <c:pt idx="146">
                  <c:v>652</c:v>
                </c:pt>
                <c:pt idx="147">
                  <c:v>695</c:v>
                </c:pt>
                <c:pt idx="148">
                  <c:v>736</c:v>
                </c:pt>
                <c:pt idx="149">
                  <c:v>725</c:v>
                </c:pt>
                <c:pt idx="150">
                  <c:v>745</c:v>
                </c:pt>
                <c:pt idx="151">
                  <c:v>790</c:v>
                </c:pt>
                <c:pt idx="152">
                  <c:v>635</c:v>
                </c:pt>
                <c:pt idx="153">
                  <c:v>635</c:v>
                </c:pt>
                <c:pt idx="154">
                  <c:v>647</c:v>
                </c:pt>
                <c:pt idx="155">
                  <c:v>663</c:v>
                </c:pt>
                <c:pt idx="156">
                  <c:v>652</c:v>
                </c:pt>
                <c:pt idx="157">
                  <c:v>651</c:v>
                </c:pt>
                <c:pt idx="158">
                  <c:v>654</c:v>
                </c:pt>
                <c:pt idx="159">
                  <c:v>497</c:v>
                </c:pt>
                <c:pt idx="160">
                  <c:v>497</c:v>
                </c:pt>
                <c:pt idx="161">
                  <c:v>488</c:v>
                </c:pt>
                <c:pt idx="162">
                  <c:v>503</c:v>
                </c:pt>
                <c:pt idx="163">
                  <c:v>524</c:v>
                </c:pt>
                <c:pt idx="164">
                  <c:v>508</c:v>
                </c:pt>
                <c:pt idx="165">
                  <c:v>482</c:v>
                </c:pt>
                <c:pt idx="166">
                  <c:v>345</c:v>
                </c:pt>
                <c:pt idx="167">
                  <c:v>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6C-433B-A8C5-90C54F169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477984"/>
        <c:axId val="688478640"/>
      </c:lineChart>
      <c:catAx>
        <c:axId val="688477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78640"/>
        <c:crosses val="autoZero"/>
        <c:auto val="1"/>
        <c:lblAlgn val="ctr"/>
        <c:lblOffset val="100"/>
        <c:noMultiLvlLbl val="0"/>
      </c:catAx>
      <c:valAx>
        <c:axId val="6884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7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Histogram for Log Pond Size (end)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'Logging Data'!$AA$11:$AA$20</c:f>
              <c:strCache>
                <c:ptCount val="10"/>
                <c:pt idx="0">
                  <c:v>&lt;100</c:v>
                </c:pt>
                <c:pt idx="1">
                  <c:v>101-200</c:v>
                </c:pt>
                <c:pt idx="2">
                  <c:v>201-300</c:v>
                </c:pt>
                <c:pt idx="3">
                  <c:v>301-400</c:v>
                </c:pt>
                <c:pt idx="4">
                  <c:v>401-500</c:v>
                </c:pt>
                <c:pt idx="5">
                  <c:v>501-600</c:v>
                </c:pt>
                <c:pt idx="6">
                  <c:v>601-700</c:v>
                </c:pt>
                <c:pt idx="7">
                  <c:v>701-800</c:v>
                </c:pt>
                <c:pt idx="8">
                  <c:v>801-900</c:v>
                </c:pt>
                <c:pt idx="9">
                  <c:v>901&gt;</c:v>
                </c:pt>
              </c:strCache>
            </c:strRef>
          </c:cat>
          <c:val>
            <c:numRef>
              <c:f>'Logging Data'!$AC$11:$AC$20</c:f>
              <c:numCache>
                <c:formatCode>General</c:formatCode>
                <c:ptCount val="10"/>
                <c:pt idx="0">
                  <c:v>18</c:v>
                </c:pt>
                <c:pt idx="1">
                  <c:v>28</c:v>
                </c:pt>
                <c:pt idx="2">
                  <c:v>19</c:v>
                </c:pt>
                <c:pt idx="3">
                  <c:v>4</c:v>
                </c:pt>
                <c:pt idx="4">
                  <c:v>7</c:v>
                </c:pt>
                <c:pt idx="5">
                  <c:v>7</c:v>
                </c:pt>
                <c:pt idx="6">
                  <c:v>19</c:v>
                </c:pt>
                <c:pt idx="7">
                  <c:v>10</c:v>
                </c:pt>
                <c:pt idx="8">
                  <c:v>38</c:v>
                </c:pt>
                <c:pt idx="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B-44F6-9237-F45CFE956ED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17853944"/>
        <c:axId val="717856896"/>
      </c:barChart>
      <c:catAx>
        <c:axId val="71785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56896"/>
        <c:crosses val="autoZero"/>
        <c:auto val="1"/>
        <c:lblAlgn val="ctr"/>
        <c:lblOffset val="100"/>
        <c:noMultiLvlLbl val="0"/>
      </c:catAx>
      <c:valAx>
        <c:axId val="71785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5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'Logging Data'!$J$11:$J$178</c:f>
              <c:numCache>
                <c:formatCode>General</c:formatCode>
                <c:ptCount val="168"/>
                <c:pt idx="0">
                  <c:v>45</c:v>
                </c:pt>
                <c:pt idx="1">
                  <c:v>73</c:v>
                </c:pt>
                <c:pt idx="2">
                  <c:v>55</c:v>
                </c:pt>
                <c:pt idx="3">
                  <c:v>40</c:v>
                </c:pt>
                <c:pt idx="4">
                  <c:v>124</c:v>
                </c:pt>
                <c:pt idx="5">
                  <c:v>124</c:v>
                </c:pt>
                <c:pt idx="6">
                  <c:v>124</c:v>
                </c:pt>
                <c:pt idx="7">
                  <c:v>84</c:v>
                </c:pt>
                <c:pt idx="8">
                  <c:v>46</c:v>
                </c:pt>
                <c:pt idx="9">
                  <c:v>59</c:v>
                </c:pt>
                <c:pt idx="10">
                  <c:v>73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112</c:v>
                </c:pt>
                <c:pt idx="15">
                  <c:v>96</c:v>
                </c:pt>
                <c:pt idx="16">
                  <c:v>95</c:v>
                </c:pt>
                <c:pt idx="17">
                  <c:v>104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136</c:v>
                </c:pt>
                <c:pt idx="22">
                  <c:v>86</c:v>
                </c:pt>
                <c:pt idx="23">
                  <c:v>86</c:v>
                </c:pt>
                <c:pt idx="24">
                  <c:v>93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124</c:v>
                </c:pt>
                <c:pt idx="29">
                  <c:v>79</c:v>
                </c:pt>
                <c:pt idx="30">
                  <c:v>90</c:v>
                </c:pt>
                <c:pt idx="31">
                  <c:v>105</c:v>
                </c:pt>
                <c:pt idx="32">
                  <c:v>204</c:v>
                </c:pt>
                <c:pt idx="33">
                  <c:v>204</c:v>
                </c:pt>
                <c:pt idx="34">
                  <c:v>204</c:v>
                </c:pt>
                <c:pt idx="35">
                  <c:v>199</c:v>
                </c:pt>
                <c:pt idx="36">
                  <c:v>144</c:v>
                </c:pt>
                <c:pt idx="37">
                  <c:v>117</c:v>
                </c:pt>
                <c:pt idx="38">
                  <c:v>84</c:v>
                </c:pt>
                <c:pt idx="39">
                  <c:v>206</c:v>
                </c:pt>
                <c:pt idx="40">
                  <c:v>206</c:v>
                </c:pt>
                <c:pt idx="41">
                  <c:v>206</c:v>
                </c:pt>
                <c:pt idx="42">
                  <c:v>184</c:v>
                </c:pt>
                <c:pt idx="43">
                  <c:v>66</c:v>
                </c:pt>
                <c:pt idx="44">
                  <c:v>38</c:v>
                </c:pt>
                <c:pt idx="45">
                  <c:v>141</c:v>
                </c:pt>
                <c:pt idx="46">
                  <c:v>262</c:v>
                </c:pt>
                <c:pt idx="47">
                  <c:v>262</c:v>
                </c:pt>
                <c:pt idx="48">
                  <c:v>262</c:v>
                </c:pt>
                <c:pt idx="49">
                  <c:v>203</c:v>
                </c:pt>
                <c:pt idx="50">
                  <c:v>125</c:v>
                </c:pt>
                <c:pt idx="51">
                  <c:v>126</c:v>
                </c:pt>
                <c:pt idx="52">
                  <c:v>129</c:v>
                </c:pt>
                <c:pt idx="53">
                  <c:v>231</c:v>
                </c:pt>
                <c:pt idx="54">
                  <c:v>231</c:v>
                </c:pt>
                <c:pt idx="55">
                  <c:v>231</c:v>
                </c:pt>
                <c:pt idx="56">
                  <c:v>219</c:v>
                </c:pt>
                <c:pt idx="57">
                  <c:v>180</c:v>
                </c:pt>
                <c:pt idx="58">
                  <c:v>163</c:v>
                </c:pt>
                <c:pt idx="59">
                  <c:v>151</c:v>
                </c:pt>
                <c:pt idx="60">
                  <c:v>262</c:v>
                </c:pt>
                <c:pt idx="61">
                  <c:v>262</c:v>
                </c:pt>
                <c:pt idx="62">
                  <c:v>262</c:v>
                </c:pt>
                <c:pt idx="63">
                  <c:v>269</c:v>
                </c:pt>
                <c:pt idx="64">
                  <c:v>273</c:v>
                </c:pt>
                <c:pt idx="65">
                  <c:v>302</c:v>
                </c:pt>
                <c:pt idx="66">
                  <c:v>324</c:v>
                </c:pt>
                <c:pt idx="67">
                  <c:v>472</c:v>
                </c:pt>
                <c:pt idx="68">
                  <c:v>472</c:v>
                </c:pt>
                <c:pt idx="69">
                  <c:v>472</c:v>
                </c:pt>
                <c:pt idx="70">
                  <c:v>503</c:v>
                </c:pt>
                <c:pt idx="71">
                  <c:v>535</c:v>
                </c:pt>
                <c:pt idx="72">
                  <c:v>510</c:v>
                </c:pt>
                <c:pt idx="73">
                  <c:v>531</c:v>
                </c:pt>
                <c:pt idx="74">
                  <c:v>656</c:v>
                </c:pt>
                <c:pt idx="75">
                  <c:v>656</c:v>
                </c:pt>
                <c:pt idx="76">
                  <c:v>656</c:v>
                </c:pt>
                <c:pt idx="77">
                  <c:v>650</c:v>
                </c:pt>
                <c:pt idx="78">
                  <c:v>673</c:v>
                </c:pt>
                <c:pt idx="79">
                  <c:v>681</c:v>
                </c:pt>
                <c:pt idx="80">
                  <c:v>680</c:v>
                </c:pt>
                <c:pt idx="81">
                  <c:v>838</c:v>
                </c:pt>
                <c:pt idx="82">
                  <c:v>838</c:v>
                </c:pt>
                <c:pt idx="83">
                  <c:v>838</c:v>
                </c:pt>
                <c:pt idx="84">
                  <c:v>841</c:v>
                </c:pt>
                <c:pt idx="85">
                  <c:v>844</c:v>
                </c:pt>
                <c:pt idx="86">
                  <c:v>811</c:v>
                </c:pt>
                <c:pt idx="87">
                  <c:v>805</c:v>
                </c:pt>
                <c:pt idx="88">
                  <c:v>829</c:v>
                </c:pt>
                <c:pt idx="89">
                  <c:v>829</c:v>
                </c:pt>
                <c:pt idx="90">
                  <c:v>829</c:v>
                </c:pt>
                <c:pt idx="91">
                  <c:v>840</c:v>
                </c:pt>
                <c:pt idx="92">
                  <c:v>829</c:v>
                </c:pt>
                <c:pt idx="93">
                  <c:v>858</c:v>
                </c:pt>
                <c:pt idx="94">
                  <c:v>843</c:v>
                </c:pt>
                <c:pt idx="95">
                  <c:v>832</c:v>
                </c:pt>
                <c:pt idx="96">
                  <c:v>832</c:v>
                </c:pt>
                <c:pt idx="97">
                  <c:v>832</c:v>
                </c:pt>
                <c:pt idx="98">
                  <c:v>875</c:v>
                </c:pt>
                <c:pt idx="99">
                  <c:v>884</c:v>
                </c:pt>
                <c:pt idx="100">
                  <c:v>862</c:v>
                </c:pt>
                <c:pt idx="101">
                  <c:v>928</c:v>
                </c:pt>
                <c:pt idx="102">
                  <c:v>924</c:v>
                </c:pt>
                <c:pt idx="103">
                  <c:v>924</c:v>
                </c:pt>
                <c:pt idx="104">
                  <c:v>924</c:v>
                </c:pt>
                <c:pt idx="105">
                  <c:v>801</c:v>
                </c:pt>
                <c:pt idx="106">
                  <c:v>829</c:v>
                </c:pt>
                <c:pt idx="107">
                  <c:v>857</c:v>
                </c:pt>
                <c:pt idx="108">
                  <c:v>847</c:v>
                </c:pt>
                <c:pt idx="109">
                  <c:v>838</c:v>
                </c:pt>
                <c:pt idx="110">
                  <c:v>838</c:v>
                </c:pt>
                <c:pt idx="111">
                  <c:v>838</c:v>
                </c:pt>
                <c:pt idx="112">
                  <c:v>832</c:v>
                </c:pt>
                <c:pt idx="113">
                  <c:v>863</c:v>
                </c:pt>
                <c:pt idx="114">
                  <c:v>892</c:v>
                </c:pt>
                <c:pt idx="115">
                  <c:v>929</c:v>
                </c:pt>
                <c:pt idx="116">
                  <c:v>931</c:v>
                </c:pt>
                <c:pt idx="117">
                  <c:v>931</c:v>
                </c:pt>
                <c:pt idx="118">
                  <c:v>931</c:v>
                </c:pt>
                <c:pt idx="119">
                  <c:v>944</c:v>
                </c:pt>
                <c:pt idx="120">
                  <c:v>939</c:v>
                </c:pt>
                <c:pt idx="121">
                  <c:v>949</c:v>
                </c:pt>
                <c:pt idx="122">
                  <c:v>945</c:v>
                </c:pt>
                <c:pt idx="123">
                  <c:v>998</c:v>
                </c:pt>
                <c:pt idx="124">
                  <c:v>998</c:v>
                </c:pt>
                <c:pt idx="125">
                  <c:v>998</c:v>
                </c:pt>
                <c:pt idx="126">
                  <c:v>1010</c:v>
                </c:pt>
                <c:pt idx="127">
                  <c:v>1004</c:v>
                </c:pt>
                <c:pt idx="128">
                  <c:v>863</c:v>
                </c:pt>
                <c:pt idx="129">
                  <c:v>893</c:v>
                </c:pt>
                <c:pt idx="130">
                  <c:v>903</c:v>
                </c:pt>
                <c:pt idx="131">
                  <c:v>764</c:v>
                </c:pt>
                <c:pt idx="132">
                  <c:v>764</c:v>
                </c:pt>
                <c:pt idx="133">
                  <c:v>776</c:v>
                </c:pt>
                <c:pt idx="134">
                  <c:v>812</c:v>
                </c:pt>
                <c:pt idx="135">
                  <c:v>819</c:v>
                </c:pt>
                <c:pt idx="136">
                  <c:v>821</c:v>
                </c:pt>
                <c:pt idx="137">
                  <c:v>817</c:v>
                </c:pt>
                <c:pt idx="138">
                  <c:v>683</c:v>
                </c:pt>
                <c:pt idx="139">
                  <c:v>683</c:v>
                </c:pt>
                <c:pt idx="140">
                  <c:v>731</c:v>
                </c:pt>
                <c:pt idx="141">
                  <c:v>765</c:v>
                </c:pt>
                <c:pt idx="142">
                  <c:v>794</c:v>
                </c:pt>
                <c:pt idx="143">
                  <c:v>806</c:v>
                </c:pt>
                <c:pt idx="144">
                  <c:v>810</c:v>
                </c:pt>
                <c:pt idx="145">
                  <c:v>652</c:v>
                </c:pt>
                <c:pt idx="146">
                  <c:v>652</c:v>
                </c:pt>
                <c:pt idx="147">
                  <c:v>695</c:v>
                </c:pt>
                <c:pt idx="148">
                  <c:v>736</c:v>
                </c:pt>
                <c:pt idx="149">
                  <c:v>725</c:v>
                </c:pt>
                <c:pt idx="150">
                  <c:v>745</c:v>
                </c:pt>
                <c:pt idx="151">
                  <c:v>790</c:v>
                </c:pt>
                <c:pt idx="152">
                  <c:v>635</c:v>
                </c:pt>
                <c:pt idx="153">
                  <c:v>635</c:v>
                </c:pt>
                <c:pt idx="154">
                  <c:v>647</c:v>
                </c:pt>
                <c:pt idx="155">
                  <c:v>663</c:v>
                </c:pt>
                <c:pt idx="156">
                  <c:v>652</c:v>
                </c:pt>
                <c:pt idx="157">
                  <c:v>651</c:v>
                </c:pt>
                <c:pt idx="158">
                  <c:v>654</c:v>
                </c:pt>
                <c:pt idx="159">
                  <c:v>497</c:v>
                </c:pt>
                <c:pt idx="160">
                  <c:v>497</c:v>
                </c:pt>
                <c:pt idx="161">
                  <c:v>488</c:v>
                </c:pt>
                <c:pt idx="162">
                  <c:v>503</c:v>
                </c:pt>
                <c:pt idx="163">
                  <c:v>524</c:v>
                </c:pt>
                <c:pt idx="164">
                  <c:v>508</c:v>
                </c:pt>
                <c:pt idx="165">
                  <c:v>482</c:v>
                </c:pt>
                <c:pt idx="166">
                  <c:v>345</c:v>
                </c:pt>
                <c:pt idx="167">
                  <c:v>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5C-4979-A054-9DBC7963D82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 Predictive Modelling'!$J$11:$J$178</c:f>
              <c:numCache>
                <c:formatCode>General</c:formatCode>
                <c:ptCount val="168"/>
                <c:pt idx="0">
                  <c:v>45</c:v>
                </c:pt>
                <c:pt idx="1">
                  <c:v>68</c:v>
                </c:pt>
                <c:pt idx="2">
                  <c:v>48</c:v>
                </c:pt>
                <c:pt idx="3">
                  <c:v>35</c:v>
                </c:pt>
                <c:pt idx="4">
                  <c:v>119</c:v>
                </c:pt>
                <c:pt idx="5">
                  <c:v>119</c:v>
                </c:pt>
                <c:pt idx="6">
                  <c:v>119</c:v>
                </c:pt>
                <c:pt idx="7">
                  <c:v>72</c:v>
                </c:pt>
                <c:pt idx="8">
                  <c:v>39</c:v>
                </c:pt>
                <c:pt idx="9">
                  <c:v>55</c:v>
                </c:pt>
                <c:pt idx="10">
                  <c:v>67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91</c:v>
                </c:pt>
                <c:pt idx="15">
                  <c:v>87</c:v>
                </c:pt>
                <c:pt idx="16">
                  <c:v>86</c:v>
                </c:pt>
                <c:pt idx="17">
                  <c:v>95</c:v>
                </c:pt>
                <c:pt idx="18">
                  <c:v>183</c:v>
                </c:pt>
                <c:pt idx="19">
                  <c:v>183</c:v>
                </c:pt>
                <c:pt idx="20">
                  <c:v>183</c:v>
                </c:pt>
                <c:pt idx="21">
                  <c:v>100</c:v>
                </c:pt>
                <c:pt idx="22">
                  <c:v>76</c:v>
                </c:pt>
                <c:pt idx="23">
                  <c:v>78</c:v>
                </c:pt>
                <c:pt idx="24">
                  <c:v>85</c:v>
                </c:pt>
                <c:pt idx="25">
                  <c:v>184</c:v>
                </c:pt>
                <c:pt idx="26">
                  <c:v>184</c:v>
                </c:pt>
                <c:pt idx="27">
                  <c:v>184</c:v>
                </c:pt>
                <c:pt idx="28">
                  <c:v>104</c:v>
                </c:pt>
                <c:pt idx="29">
                  <c:v>69</c:v>
                </c:pt>
                <c:pt idx="30">
                  <c:v>83</c:v>
                </c:pt>
                <c:pt idx="31">
                  <c:v>97</c:v>
                </c:pt>
                <c:pt idx="32">
                  <c:v>196</c:v>
                </c:pt>
                <c:pt idx="33">
                  <c:v>196</c:v>
                </c:pt>
                <c:pt idx="34">
                  <c:v>196</c:v>
                </c:pt>
                <c:pt idx="35">
                  <c:v>175</c:v>
                </c:pt>
                <c:pt idx="36">
                  <c:v>124</c:v>
                </c:pt>
                <c:pt idx="37">
                  <c:v>94</c:v>
                </c:pt>
                <c:pt idx="38">
                  <c:v>75</c:v>
                </c:pt>
                <c:pt idx="39">
                  <c:v>197</c:v>
                </c:pt>
                <c:pt idx="40">
                  <c:v>197</c:v>
                </c:pt>
                <c:pt idx="41">
                  <c:v>197</c:v>
                </c:pt>
                <c:pt idx="42">
                  <c:v>165</c:v>
                </c:pt>
                <c:pt idx="43">
                  <c:v>8</c:v>
                </c:pt>
                <c:pt idx="44">
                  <c:v>37</c:v>
                </c:pt>
                <c:pt idx="45">
                  <c:v>137</c:v>
                </c:pt>
                <c:pt idx="46">
                  <c:v>258</c:v>
                </c:pt>
                <c:pt idx="47">
                  <c:v>258</c:v>
                </c:pt>
                <c:pt idx="48">
                  <c:v>258</c:v>
                </c:pt>
                <c:pt idx="49">
                  <c:v>182</c:v>
                </c:pt>
                <c:pt idx="50">
                  <c:v>115</c:v>
                </c:pt>
                <c:pt idx="51">
                  <c:v>114</c:v>
                </c:pt>
                <c:pt idx="52">
                  <c:v>118</c:v>
                </c:pt>
                <c:pt idx="53">
                  <c:v>220</c:v>
                </c:pt>
                <c:pt idx="54">
                  <c:v>220</c:v>
                </c:pt>
                <c:pt idx="55">
                  <c:v>220</c:v>
                </c:pt>
                <c:pt idx="56">
                  <c:v>184</c:v>
                </c:pt>
                <c:pt idx="57">
                  <c:v>119</c:v>
                </c:pt>
                <c:pt idx="58">
                  <c:v>108</c:v>
                </c:pt>
                <c:pt idx="59">
                  <c:v>124</c:v>
                </c:pt>
                <c:pt idx="60">
                  <c:v>235</c:v>
                </c:pt>
                <c:pt idx="61">
                  <c:v>235</c:v>
                </c:pt>
                <c:pt idx="62">
                  <c:v>235</c:v>
                </c:pt>
                <c:pt idx="63">
                  <c:v>244</c:v>
                </c:pt>
                <c:pt idx="64">
                  <c:v>243</c:v>
                </c:pt>
                <c:pt idx="65">
                  <c:v>247</c:v>
                </c:pt>
                <c:pt idx="66">
                  <c:v>268</c:v>
                </c:pt>
                <c:pt idx="67">
                  <c:v>416</c:v>
                </c:pt>
                <c:pt idx="68">
                  <c:v>416</c:v>
                </c:pt>
                <c:pt idx="69">
                  <c:v>416</c:v>
                </c:pt>
                <c:pt idx="70">
                  <c:v>420</c:v>
                </c:pt>
                <c:pt idx="71">
                  <c:v>429</c:v>
                </c:pt>
                <c:pt idx="72">
                  <c:v>400</c:v>
                </c:pt>
                <c:pt idx="73">
                  <c:v>405</c:v>
                </c:pt>
                <c:pt idx="74">
                  <c:v>530</c:v>
                </c:pt>
                <c:pt idx="75">
                  <c:v>530</c:v>
                </c:pt>
                <c:pt idx="76">
                  <c:v>530</c:v>
                </c:pt>
                <c:pt idx="77">
                  <c:v>510</c:v>
                </c:pt>
                <c:pt idx="78">
                  <c:v>516</c:v>
                </c:pt>
                <c:pt idx="79">
                  <c:v>518</c:v>
                </c:pt>
                <c:pt idx="80">
                  <c:v>513</c:v>
                </c:pt>
                <c:pt idx="81">
                  <c:v>671</c:v>
                </c:pt>
                <c:pt idx="82">
                  <c:v>671</c:v>
                </c:pt>
                <c:pt idx="83">
                  <c:v>671</c:v>
                </c:pt>
                <c:pt idx="84">
                  <c:v>656</c:v>
                </c:pt>
                <c:pt idx="85">
                  <c:v>633</c:v>
                </c:pt>
                <c:pt idx="86">
                  <c:v>610</c:v>
                </c:pt>
                <c:pt idx="87">
                  <c:v>597</c:v>
                </c:pt>
                <c:pt idx="88">
                  <c:v>599</c:v>
                </c:pt>
                <c:pt idx="89">
                  <c:v>599</c:v>
                </c:pt>
                <c:pt idx="90">
                  <c:v>599</c:v>
                </c:pt>
                <c:pt idx="91">
                  <c:v>588</c:v>
                </c:pt>
                <c:pt idx="92">
                  <c:v>559</c:v>
                </c:pt>
                <c:pt idx="93">
                  <c:v>589</c:v>
                </c:pt>
                <c:pt idx="94">
                  <c:v>570</c:v>
                </c:pt>
                <c:pt idx="95">
                  <c:v>546</c:v>
                </c:pt>
                <c:pt idx="96">
                  <c:v>546</c:v>
                </c:pt>
                <c:pt idx="97">
                  <c:v>546</c:v>
                </c:pt>
                <c:pt idx="98">
                  <c:v>569</c:v>
                </c:pt>
                <c:pt idx="99">
                  <c:v>572</c:v>
                </c:pt>
                <c:pt idx="100">
                  <c:v>565</c:v>
                </c:pt>
                <c:pt idx="101">
                  <c:v>601</c:v>
                </c:pt>
                <c:pt idx="102">
                  <c:v>585</c:v>
                </c:pt>
                <c:pt idx="103">
                  <c:v>585</c:v>
                </c:pt>
                <c:pt idx="104">
                  <c:v>585</c:v>
                </c:pt>
                <c:pt idx="105">
                  <c:v>437</c:v>
                </c:pt>
                <c:pt idx="106">
                  <c:v>443</c:v>
                </c:pt>
                <c:pt idx="107">
                  <c:v>476</c:v>
                </c:pt>
                <c:pt idx="108">
                  <c:v>451</c:v>
                </c:pt>
                <c:pt idx="109">
                  <c:v>429</c:v>
                </c:pt>
                <c:pt idx="110">
                  <c:v>429</c:v>
                </c:pt>
                <c:pt idx="111">
                  <c:v>429</c:v>
                </c:pt>
                <c:pt idx="112">
                  <c:v>415</c:v>
                </c:pt>
                <c:pt idx="113">
                  <c:v>422</c:v>
                </c:pt>
                <c:pt idx="114">
                  <c:v>438</c:v>
                </c:pt>
                <c:pt idx="115">
                  <c:v>436</c:v>
                </c:pt>
                <c:pt idx="116">
                  <c:v>408</c:v>
                </c:pt>
                <c:pt idx="117">
                  <c:v>408</c:v>
                </c:pt>
                <c:pt idx="118">
                  <c:v>408</c:v>
                </c:pt>
                <c:pt idx="119">
                  <c:v>386</c:v>
                </c:pt>
                <c:pt idx="120">
                  <c:v>363</c:v>
                </c:pt>
                <c:pt idx="121">
                  <c:v>355</c:v>
                </c:pt>
                <c:pt idx="122">
                  <c:v>323</c:v>
                </c:pt>
                <c:pt idx="123">
                  <c:v>366</c:v>
                </c:pt>
                <c:pt idx="124">
                  <c:v>366</c:v>
                </c:pt>
                <c:pt idx="125">
                  <c:v>366</c:v>
                </c:pt>
                <c:pt idx="126">
                  <c:v>373</c:v>
                </c:pt>
                <c:pt idx="127">
                  <c:v>361</c:v>
                </c:pt>
                <c:pt idx="128">
                  <c:v>236</c:v>
                </c:pt>
                <c:pt idx="129">
                  <c:v>232</c:v>
                </c:pt>
                <c:pt idx="130">
                  <c:v>225</c:v>
                </c:pt>
                <c:pt idx="131">
                  <c:v>53</c:v>
                </c:pt>
                <c:pt idx="132">
                  <c:v>53</c:v>
                </c:pt>
                <c:pt idx="133">
                  <c:v>151</c:v>
                </c:pt>
                <c:pt idx="134">
                  <c:v>168</c:v>
                </c:pt>
                <c:pt idx="135">
                  <c:v>158</c:v>
                </c:pt>
                <c:pt idx="136">
                  <c:v>141</c:v>
                </c:pt>
                <c:pt idx="137">
                  <c:v>129</c:v>
                </c:pt>
                <c:pt idx="138">
                  <c:v>-13</c:v>
                </c:pt>
                <c:pt idx="139">
                  <c:v>-13</c:v>
                </c:pt>
                <c:pt idx="140">
                  <c:v>185</c:v>
                </c:pt>
                <c:pt idx="141">
                  <c:v>223</c:v>
                </c:pt>
                <c:pt idx="142">
                  <c:v>233</c:v>
                </c:pt>
                <c:pt idx="143">
                  <c:v>208</c:v>
                </c:pt>
                <c:pt idx="144">
                  <c:v>217</c:v>
                </c:pt>
                <c:pt idx="145">
                  <c:v>41</c:v>
                </c:pt>
                <c:pt idx="146">
                  <c:v>41</c:v>
                </c:pt>
                <c:pt idx="147">
                  <c:v>179</c:v>
                </c:pt>
                <c:pt idx="148">
                  <c:v>190</c:v>
                </c:pt>
                <c:pt idx="149">
                  <c:v>170</c:v>
                </c:pt>
                <c:pt idx="150">
                  <c:v>186</c:v>
                </c:pt>
                <c:pt idx="151">
                  <c:v>205</c:v>
                </c:pt>
                <c:pt idx="152">
                  <c:v>34</c:v>
                </c:pt>
                <c:pt idx="153">
                  <c:v>34</c:v>
                </c:pt>
                <c:pt idx="154">
                  <c:v>142</c:v>
                </c:pt>
                <c:pt idx="155">
                  <c:v>143</c:v>
                </c:pt>
                <c:pt idx="156">
                  <c:v>134</c:v>
                </c:pt>
                <c:pt idx="157">
                  <c:v>136</c:v>
                </c:pt>
                <c:pt idx="158">
                  <c:v>129</c:v>
                </c:pt>
                <c:pt idx="159">
                  <c:v>-13</c:v>
                </c:pt>
                <c:pt idx="160">
                  <c:v>-13</c:v>
                </c:pt>
                <c:pt idx="161">
                  <c:v>150</c:v>
                </c:pt>
                <c:pt idx="162">
                  <c:v>153</c:v>
                </c:pt>
                <c:pt idx="163">
                  <c:v>148</c:v>
                </c:pt>
                <c:pt idx="164">
                  <c:v>113</c:v>
                </c:pt>
                <c:pt idx="165">
                  <c:v>124</c:v>
                </c:pt>
                <c:pt idx="166">
                  <c:v>-12</c:v>
                </c:pt>
                <c:pt idx="167">
                  <c:v>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5C-4979-A054-9DBC7963D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477984"/>
        <c:axId val="688478640"/>
      </c:lineChart>
      <c:catAx>
        <c:axId val="688477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78640"/>
        <c:crosses val="autoZero"/>
        <c:auto val="1"/>
        <c:lblAlgn val="ctr"/>
        <c:lblOffset val="100"/>
        <c:noMultiLvlLbl val="0"/>
      </c:catAx>
      <c:valAx>
        <c:axId val="6884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7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Histogram for Log Pond Size (end)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Predictive Modelling'!$AB$11:$AB$20</c:f>
              <c:strCache>
                <c:ptCount val="10"/>
                <c:pt idx="0">
                  <c:v>&lt;100</c:v>
                </c:pt>
                <c:pt idx="1">
                  <c:v>101-200</c:v>
                </c:pt>
                <c:pt idx="2">
                  <c:v>201-300</c:v>
                </c:pt>
                <c:pt idx="3">
                  <c:v>301-400</c:v>
                </c:pt>
                <c:pt idx="4">
                  <c:v>401-500</c:v>
                </c:pt>
                <c:pt idx="5">
                  <c:v>501-600</c:v>
                </c:pt>
                <c:pt idx="6">
                  <c:v>601-700</c:v>
                </c:pt>
                <c:pt idx="7">
                  <c:v>701-800</c:v>
                </c:pt>
                <c:pt idx="8">
                  <c:v>801-900</c:v>
                </c:pt>
                <c:pt idx="9">
                  <c:v>901&gt;</c:v>
                </c:pt>
              </c:strCache>
            </c:strRef>
          </c:cat>
          <c:val>
            <c:numRef>
              <c:f>' Predictive Modelling'!$AD$11:$AD$20</c:f>
              <c:numCache>
                <c:formatCode>General</c:formatCode>
                <c:ptCount val="10"/>
                <c:pt idx="0">
                  <c:v>35</c:v>
                </c:pt>
                <c:pt idx="1">
                  <c:v>51</c:v>
                </c:pt>
                <c:pt idx="2">
                  <c:v>21</c:v>
                </c:pt>
                <c:pt idx="3">
                  <c:v>10</c:v>
                </c:pt>
                <c:pt idx="4">
                  <c:v>20</c:v>
                </c:pt>
                <c:pt idx="5">
                  <c:v>24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4-4F0B-B784-AF18F621AB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17853944"/>
        <c:axId val="717856896"/>
      </c:barChart>
      <c:catAx>
        <c:axId val="71785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56896"/>
        <c:crosses val="autoZero"/>
        <c:auto val="1"/>
        <c:lblAlgn val="ctr"/>
        <c:lblOffset val="100"/>
        <c:noMultiLvlLbl val="0"/>
      </c:catAx>
      <c:valAx>
        <c:axId val="71785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5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9</xdr:row>
      <xdr:rowOff>152400</xdr:rowOff>
    </xdr:from>
    <xdr:to>
      <xdr:col>21</xdr:col>
      <xdr:colOff>371475</xdr:colOff>
      <xdr:row>20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542925</xdr:colOff>
      <xdr:row>21</xdr:row>
      <xdr:rowOff>114300</xdr:rowOff>
    </xdr:from>
    <xdr:to>
      <xdr:col>32</xdr:col>
      <xdr:colOff>238125</xdr:colOff>
      <xdr:row>36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323850</xdr:colOff>
      <xdr:row>24</xdr:row>
      <xdr:rowOff>152400</xdr:rowOff>
    </xdr:from>
    <xdr:to>
      <xdr:col>22</xdr:col>
      <xdr:colOff>19050</xdr:colOff>
      <xdr:row>39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542925</xdr:colOff>
      <xdr:row>21</xdr:row>
      <xdr:rowOff>114300</xdr:rowOff>
    </xdr:from>
    <xdr:to>
      <xdr:col>33</xdr:col>
      <xdr:colOff>238125</xdr:colOff>
      <xdr:row>36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9241-9589-49EC-9136-0933E6E23462}">
  <sheetPr codeName="Sheet1"/>
  <dimension ref="A1:AD178"/>
  <sheetViews>
    <sheetView workbookViewId="0">
      <selection activeCell="L10" sqref="L10"/>
    </sheetView>
  </sheetViews>
  <sheetFormatPr defaultRowHeight="15" x14ac:dyDescent="0.25"/>
  <cols>
    <col min="9" max="9" width="9.85546875" customWidth="1"/>
  </cols>
  <sheetData>
    <row r="1" spans="1:30" ht="18" x14ac:dyDescent="0.35">
      <c r="A1" s="1"/>
      <c r="B1" s="17" t="s">
        <v>7</v>
      </c>
      <c r="C1" s="1"/>
      <c r="D1" s="1"/>
      <c r="E1" s="1"/>
      <c r="F1" s="1"/>
      <c r="G1" s="1"/>
      <c r="H1" s="1"/>
      <c r="I1" s="1"/>
      <c r="J1" s="1" t="s">
        <v>10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A2" s="1"/>
      <c r="B2" s="2" t="s">
        <v>8</v>
      </c>
      <c r="C2" s="1"/>
      <c r="D2" s="1"/>
      <c r="E2" s="1"/>
      <c r="F2" s="1"/>
      <c r="G2" s="19" t="s">
        <v>24</v>
      </c>
      <c r="H2" s="18">
        <f>AVERAGE(H11:H178)</f>
        <v>90.36904761904762</v>
      </c>
      <c r="I2" s="1" t="s">
        <v>12</v>
      </c>
      <c r="J2" s="18">
        <f>AVERAGE(J11:J178)</f>
        <v>520.17857142857144</v>
      </c>
      <c r="K2" s="1" t="s">
        <v>12</v>
      </c>
      <c r="L2" s="18">
        <f t="shared" ref="L2" si="0">AVERAGE(L11:L178)</f>
        <v>144.78260869565219</v>
      </c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2" t="s">
        <v>9</v>
      </c>
      <c r="C3" s="1"/>
      <c r="D3" s="1"/>
      <c r="E3" s="1"/>
      <c r="F3" s="1"/>
      <c r="G3" s="19" t="s">
        <v>25</v>
      </c>
      <c r="H3" s="18">
        <f>AVERAGEIF(H11:H178,"&gt;0")</f>
        <v>134.35398230088495</v>
      </c>
      <c r="I3" s="1" t="s">
        <v>13</v>
      </c>
      <c r="J3" s="18">
        <f>MIN(J11:J178)</f>
        <v>38</v>
      </c>
      <c r="K3" s="1" t="s">
        <v>13</v>
      </c>
      <c r="L3" s="18">
        <f t="shared" ref="L3" si="1">MIN(L11:L178)</f>
        <v>130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25">
      <c r="A4" s="1"/>
      <c r="B4" s="2"/>
      <c r="C4" s="1"/>
      <c r="D4" s="1"/>
      <c r="E4" s="1"/>
      <c r="F4" s="1"/>
      <c r="G4" s="19" t="s">
        <v>26</v>
      </c>
      <c r="H4" s="18">
        <f>AVERAGEIF(K11:K178,1,H11:H178)</f>
        <v>88.666666666666671</v>
      </c>
      <c r="I4" s="1" t="s">
        <v>14</v>
      </c>
      <c r="J4" s="18">
        <f>MAX(J11:J178)</f>
        <v>1010</v>
      </c>
      <c r="K4" s="1" t="s">
        <v>14</v>
      </c>
      <c r="L4" s="18">
        <f t="shared" ref="L4" si="2">MAX(L11:L178)</f>
        <v>161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2"/>
      <c r="C5" s="1"/>
      <c r="D5" s="1"/>
      <c r="E5" s="1"/>
      <c r="F5" s="1"/>
      <c r="G5" s="19" t="s">
        <v>27</v>
      </c>
      <c r="H5" s="18">
        <f>AVERAGEIFS(H11:H178,H11:H178,"&gt;0",K11:K178,0)</f>
        <v>144.78260869565219</v>
      </c>
      <c r="I5" s="1" t="s">
        <v>15</v>
      </c>
      <c r="J5" s="18">
        <f>_xlfn.STDEV.P(J11:J178)</f>
        <v>321.68872342516386</v>
      </c>
      <c r="K5" s="1" t="s">
        <v>15</v>
      </c>
      <c r="L5" s="18">
        <f t="shared" ref="L5" si="3">_xlfn.STDEV.P(L11:L178)</f>
        <v>8.928247901240832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2"/>
      <c r="C6" s="1"/>
      <c r="D6" s="1"/>
      <c r="E6" s="1"/>
      <c r="F6" s="1"/>
      <c r="G6" s="1"/>
      <c r="H6" s="1"/>
      <c r="I6" s="1" t="s">
        <v>16</v>
      </c>
      <c r="J6" s="18">
        <f>J4-J3</f>
        <v>972</v>
      </c>
      <c r="K6" s="1" t="s">
        <v>16</v>
      </c>
      <c r="L6" s="18">
        <f t="shared" ref="L6" si="4">L4-L3</f>
        <v>31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2"/>
      <c r="C7" s="1"/>
      <c r="D7" s="1"/>
      <c r="E7" s="1"/>
      <c r="F7" s="1"/>
      <c r="G7" s="1"/>
      <c r="H7" s="1"/>
      <c r="I7" s="1" t="s">
        <v>17</v>
      </c>
      <c r="J7" s="18">
        <f>J178</f>
        <v>345</v>
      </c>
      <c r="K7" s="1" t="s">
        <v>33</v>
      </c>
      <c r="L7" s="18">
        <f>COUNT(L11:L178)</f>
        <v>92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2"/>
      <c r="C8" s="1"/>
      <c r="D8" s="1"/>
      <c r="E8" s="1"/>
      <c r="F8" s="1"/>
      <c r="G8" s="1"/>
      <c r="H8" s="1"/>
      <c r="I8" s="1"/>
      <c r="J8" s="19" t="s">
        <v>23</v>
      </c>
      <c r="K8" s="18">
        <f>SUM(K11:K178)</f>
        <v>21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2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ht="76.5" customHeight="1" x14ac:dyDescent="0.35">
      <c r="A10" s="5"/>
      <c r="B10" s="6" t="s">
        <v>0</v>
      </c>
      <c r="C10" s="6" t="s">
        <v>1</v>
      </c>
      <c r="D10" s="7" t="s">
        <v>2</v>
      </c>
      <c r="E10" s="7" t="s">
        <v>3</v>
      </c>
      <c r="F10" s="6" t="s">
        <v>4</v>
      </c>
      <c r="G10" s="7" t="s">
        <v>5</v>
      </c>
      <c r="H10" s="6" t="s">
        <v>6</v>
      </c>
      <c r="I10" s="6" t="s">
        <v>11</v>
      </c>
      <c r="J10" s="1" t="s">
        <v>10</v>
      </c>
      <c r="K10" s="6" t="s">
        <v>22</v>
      </c>
      <c r="L10" s="6" t="s">
        <v>32</v>
      </c>
      <c r="M10" s="6"/>
      <c r="N10" s="6"/>
      <c r="O10" s="6"/>
      <c r="P10" s="6"/>
      <c r="Q10" s="6"/>
      <c r="R10" s="1"/>
      <c r="S10" s="1"/>
      <c r="T10" s="1"/>
      <c r="U10" s="1"/>
      <c r="V10" s="1"/>
      <c r="W10" s="1"/>
      <c r="X10" s="1"/>
      <c r="Y10" s="1"/>
      <c r="Z10" s="1"/>
      <c r="AA10" s="7" t="s">
        <v>18</v>
      </c>
      <c r="AB10" s="1" t="s">
        <v>19</v>
      </c>
      <c r="AC10" s="1" t="s">
        <v>20</v>
      </c>
      <c r="AD10" s="1"/>
    </row>
    <row r="11" spans="1:30" x14ac:dyDescent="0.25">
      <c r="B11">
        <v>1</v>
      </c>
      <c r="C11">
        <v>1</v>
      </c>
      <c r="D11" s="8">
        <v>1</v>
      </c>
      <c r="E11" s="9">
        <v>1</v>
      </c>
      <c r="F11" s="9">
        <v>1</v>
      </c>
      <c r="G11" s="9">
        <v>45</v>
      </c>
      <c r="H11" s="10">
        <v>0</v>
      </c>
      <c r="I11" s="11">
        <v>0</v>
      </c>
      <c r="J11">
        <f>I11+G11-H11</f>
        <v>45</v>
      </c>
      <c r="AA11" t="str">
        <f>"&lt;"&amp;AB11</f>
        <v>&lt;100</v>
      </c>
      <c r="AB11">
        <v>100</v>
      </c>
      <c r="AC11" cm="1">
        <f t="array" ref="AC11:AC20">FREQUENCY(J11:J178,AB11:AB20)</f>
        <v>18</v>
      </c>
    </row>
    <row r="12" spans="1:30" x14ac:dyDescent="0.25">
      <c r="B12">
        <v>1</v>
      </c>
      <c r="C12">
        <v>2</v>
      </c>
      <c r="D12" s="12">
        <v>2</v>
      </c>
      <c r="E12" s="11">
        <v>1</v>
      </c>
      <c r="F12" s="11">
        <v>1</v>
      </c>
      <c r="G12" s="11">
        <v>73</v>
      </c>
      <c r="H12" s="13">
        <v>45</v>
      </c>
      <c r="I12" s="11">
        <f>J11</f>
        <v>45</v>
      </c>
      <c r="J12">
        <f t="shared" ref="J12:J75" si="5">I12+G12-H12</f>
        <v>73</v>
      </c>
      <c r="K12">
        <f>IF(AND(H12=I12,F12=1),1,0)</f>
        <v>1</v>
      </c>
      <c r="L12" t="str">
        <f>IF(OR(F12=0,K12=1),"",H12)</f>
        <v/>
      </c>
      <c r="AA12" t="str">
        <f>AB11+1&amp; "-" &amp;AB12</f>
        <v>101-200</v>
      </c>
      <c r="AB12">
        <v>200</v>
      </c>
      <c r="AC12">
        <v>28</v>
      </c>
    </row>
    <row r="13" spans="1:30" x14ac:dyDescent="0.25">
      <c r="B13">
        <v>1</v>
      </c>
      <c r="C13">
        <v>3</v>
      </c>
      <c r="D13" s="12">
        <v>3</v>
      </c>
      <c r="E13" s="11">
        <v>1</v>
      </c>
      <c r="F13" s="11">
        <v>1</v>
      </c>
      <c r="G13" s="11">
        <v>55</v>
      </c>
      <c r="H13" s="13">
        <v>73</v>
      </c>
      <c r="I13" s="11">
        <f t="shared" ref="I13:I76" si="6">J12</f>
        <v>73</v>
      </c>
      <c r="J13">
        <f t="shared" si="5"/>
        <v>55</v>
      </c>
      <c r="K13">
        <f t="shared" ref="K13:K76" si="7">IF(AND(H13=I13,F13=1),1,0)</f>
        <v>1</v>
      </c>
      <c r="L13" t="str">
        <f t="shared" ref="L13:L76" si="8">IF(OR(F13=0,K13=1),"",H13)</f>
        <v/>
      </c>
      <c r="AA13" t="str">
        <f t="shared" ref="AA13:AA19" si="9">AB12+1&amp; "-" &amp;AB13</f>
        <v>201-300</v>
      </c>
      <c r="AB13">
        <v>300</v>
      </c>
      <c r="AC13">
        <v>19</v>
      </c>
    </row>
    <row r="14" spans="1:30" x14ac:dyDescent="0.25">
      <c r="B14">
        <v>1</v>
      </c>
      <c r="C14">
        <v>4</v>
      </c>
      <c r="D14" s="12">
        <v>4</v>
      </c>
      <c r="E14" s="11">
        <v>1</v>
      </c>
      <c r="F14" s="11">
        <v>1</v>
      </c>
      <c r="G14" s="11">
        <v>40</v>
      </c>
      <c r="H14" s="13">
        <v>55</v>
      </c>
      <c r="I14" s="11">
        <f t="shared" si="6"/>
        <v>55</v>
      </c>
      <c r="J14">
        <f t="shared" si="5"/>
        <v>40</v>
      </c>
      <c r="K14">
        <f t="shared" si="7"/>
        <v>1</v>
      </c>
      <c r="L14" t="str">
        <f t="shared" si="8"/>
        <v/>
      </c>
      <c r="AA14" t="str">
        <f t="shared" si="9"/>
        <v>301-400</v>
      </c>
      <c r="AB14">
        <v>400</v>
      </c>
      <c r="AC14">
        <v>4</v>
      </c>
    </row>
    <row r="15" spans="1:30" x14ac:dyDescent="0.25">
      <c r="B15">
        <v>1</v>
      </c>
      <c r="C15" s="11">
        <v>5</v>
      </c>
      <c r="D15" s="12">
        <v>5</v>
      </c>
      <c r="E15" s="11">
        <v>1</v>
      </c>
      <c r="F15" s="11">
        <v>0</v>
      </c>
      <c r="G15" s="11">
        <v>84</v>
      </c>
      <c r="H15" s="13">
        <v>0</v>
      </c>
      <c r="I15" s="11">
        <f t="shared" si="6"/>
        <v>40</v>
      </c>
      <c r="J15">
        <f t="shared" si="5"/>
        <v>124</v>
      </c>
      <c r="K15">
        <f t="shared" si="7"/>
        <v>0</v>
      </c>
      <c r="L15" t="str">
        <f t="shared" si="8"/>
        <v/>
      </c>
      <c r="AA15" t="str">
        <f t="shared" si="9"/>
        <v>401-500</v>
      </c>
      <c r="AB15">
        <v>500</v>
      </c>
      <c r="AC15">
        <v>7</v>
      </c>
    </row>
    <row r="16" spans="1:30" x14ac:dyDescent="0.25">
      <c r="B16">
        <v>1</v>
      </c>
      <c r="C16">
        <v>6</v>
      </c>
      <c r="D16" s="12">
        <v>6</v>
      </c>
      <c r="E16" s="11">
        <v>0</v>
      </c>
      <c r="F16" s="11">
        <v>0</v>
      </c>
      <c r="G16" s="11">
        <v>0</v>
      </c>
      <c r="H16" s="13">
        <v>0</v>
      </c>
      <c r="I16" s="11">
        <f t="shared" si="6"/>
        <v>124</v>
      </c>
      <c r="J16">
        <f t="shared" si="5"/>
        <v>124</v>
      </c>
      <c r="K16">
        <f t="shared" si="7"/>
        <v>0</v>
      </c>
      <c r="L16" t="str">
        <f t="shared" si="8"/>
        <v/>
      </c>
      <c r="AA16" t="str">
        <f t="shared" si="9"/>
        <v>501-600</v>
      </c>
      <c r="AB16">
        <v>600</v>
      </c>
      <c r="AC16">
        <v>7</v>
      </c>
    </row>
    <row r="17" spans="2:29" x14ac:dyDescent="0.25">
      <c r="B17" s="14">
        <v>1</v>
      </c>
      <c r="C17" s="15">
        <v>7</v>
      </c>
      <c r="D17" s="16">
        <v>7</v>
      </c>
      <c r="E17" s="14">
        <v>0</v>
      </c>
      <c r="F17" s="14">
        <v>0</v>
      </c>
      <c r="G17" s="14">
        <v>0</v>
      </c>
      <c r="H17" s="15">
        <v>0</v>
      </c>
      <c r="I17" s="11">
        <f t="shared" si="6"/>
        <v>124</v>
      </c>
      <c r="J17">
        <f t="shared" si="5"/>
        <v>124</v>
      </c>
      <c r="K17">
        <f t="shared" si="7"/>
        <v>0</v>
      </c>
      <c r="L17" t="str">
        <f t="shared" si="8"/>
        <v/>
      </c>
      <c r="AA17" t="str">
        <f t="shared" si="9"/>
        <v>601-700</v>
      </c>
      <c r="AB17">
        <v>700</v>
      </c>
      <c r="AC17">
        <v>19</v>
      </c>
    </row>
    <row r="18" spans="2:29" x14ac:dyDescent="0.25">
      <c r="B18">
        <v>1</v>
      </c>
      <c r="C18">
        <v>8</v>
      </c>
      <c r="D18" s="8">
        <f>D11</f>
        <v>1</v>
      </c>
      <c r="E18" s="9">
        <v>1</v>
      </c>
      <c r="F18" s="9">
        <v>1</v>
      </c>
      <c r="G18" s="9">
        <v>84</v>
      </c>
      <c r="H18" s="10">
        <v>124</v>
      </c>
      <c r="I18" s="11">
        <f t="shared" si="6"/>
        <v>124</v>
      </c>
      <c r="J18">
        <f t="shared" si="5"/>
        <v>84</v>
      </c>
      <c r="K18">
        <f t="shared" si="7"/>
        <v>1</v>
      </c>
      <c r="L18" t="str">
        <f t="shared" si="8"/>
        <v/>
      </c>
      <c r="AA18" t="str">
        <f t="shared" si="9"/>
        <v>701-800</v>
      </c>
      <c r="AB18">
        <v>800</v>
      </c>
      <c r="AC18">
        <v>10</v>
      </c>
    </row>
    <row r="19" spans="2:29" x14ac:dyDescent="0.25">
      <c r="B19">
        <v>1</v>
      </c>
      <c r="C19">
        <v>9</v>
      </c>
      <c r="D19" s="12">
        <f t="shared" ref="D19:D82" si="10">D12</f>
        <v>2</v>
      </c>
      <c r="E19" s="11">
        <v>1</v>
      </c>
      <c r="F19" s="11">
        <v>1</v>
      </c>
      <c r="G19" s="11">
        <v>46</v>
      </c>
      <c r="H19" s="13">
        <v>84</v>
      </c>
      <c r="I19" s="11">
        <f t="shared" si="6"/>
        <v>84</v>
      </c>
      <c r="J19">
        <f t="shared" si="5"/>
        <v>46</v>
      </c>
      <c r="K19">
        <f t="shared" si="7"/>
        <v>1</v>
      </c>
      <c r="L19" t="str">
        <f t="shared" si="8"/>
        <v/>
      </c>
      <c r="AA19" t="str">
        <f t="shared" si="9"/>
        <v>801-900</v>
      </c>
      <c r="AB19">
        <v>900</v>
      </c>
      <c r="AC19">
        <v>38</v>
      </c>
    </row>
    <row r="20" spans="2:29" x14ac:dyDescent="0.25">
      <c r="B20">
        <v>1</v>
      </c>
      <c r="C20">
        <v>10</v>
      </c>
      <c r="D20" s="12">
        <f t="shared" si="10"/>
        <v>3</v>
      </c>
      <c r="E20" s="11">
        <v>1</v>
      </c>
      <c r="F20" s="11">
        <v>1</v>
      </c>
      <c r="G20" s="11">
        <v>59</v>
      </c>
      <c r="H20" s="13">
        <v>46</v>
      </c>
      <c r="I20" s="11">
        <f t="shared" si="6"/>
        <v>46</v>
      </c>
      <c r="J20">
        <f t="shared" si="5"/>
        <v>59</v>
      </c>
      <c r="K20">
        <f t="shared" si="7"/>
        <v>1</v>
      </c>
      <c r="L20" t="str">
        <f t="shared" si="8"/>
        <v/>
      </c>
      <c r="AA20" t="str">
        <f>AB19+1&amp; "&gt;"</f>
        <v>901&gt;</v>
      </c>
      <c r="AB20" t="s">
        <v>21</v>
      </c>
      <c r="AC20">
        <v>18</v>
      </c>
    </row>
    <row r="21" spans="2:29" x14ac:dyDescent="0.25">
      <c r="B21">
        <v>1</v>
      </c>
      <c r="C21">
        <v>11</v>
      </c>
      <c r="D21" s="12">
        <f t="shared" si="10"/>
        <v>4</v>
      </c>
      <c r="E21" s="11">
        <v>1</v>
      </c>
      <c r="F21" s="11">
        <v>1</v>
      </c>
      <c r="G21" s="11">
        <v>73</v>
      </c>
      <c r="H21" s="13">
        <v>59</v>
      </c>
      <c r="I21" s="11">
        <f t="shared" si="6"/>
        <v>59</v>
      </c>
      <c r="J21">
        <f t="shared" si="5"/>
        <v>73</v>
      </c>
      <c r="K21">
        <f t="shared" si="7"/>
        <v>1</v>
      </c>
      <c r="L21" t="str">
        <f t="shared" si="8"/>
        <v/>
      </c>
    </row>
    <row r="22" spans="2:29" x14ac:dyDescent="0.25">
      <c r="B22">
        <v>1</v>
      </c>
      <c r="C22">
        <v>12</v>
      </c>
      <c r="D22" s="12">
        <f t="shared" si="10"/>
        <v>5</v>
      </c>
      <c r="E22" s="11">
        <v>1</v>
      </c>
      <c r="F22" s="11">
        <v>0</v>
      </c>
      <c r="G22" s="11">
        <v>77</v>
      </c>
      <c r="H22" s="13">
        <v>0</v>
      </c>
      <c r="I22" s="11">
        <f t="shared" si="6"/>
        <v>73</v>
      </c>
      <c r="J22">
        <f t="shared" si="5"/>
        <v>150</v>
      </c>
      <c r="K22">
        <f t="shared" si="7"/>
        <v>0</v>
      </c>
      <c r="L22" t="str">
        <f t="shared" si="8"/>
        <v/>
      </c>
    </row>
    <row r="23" spans="2:29" x14ac:dyDescent="0.25">
      <c r="B23">
        <v>1</v>
      </c>
      <c r="C23">
        <v>13</v>
      </c>
      <c r="D23" s="12">
        <f t="shared" si="10"/>
        <v>6</v>
      </c>
      <c r="E23" s="11">
        <v>0</v>
      </c>
      <c r="F23" s="11">
        <v>0</v>
      </c>
      <c r="G23" s="11">
        <v>0</v>
      </c>
      <c r="H23" s="13">
        <v>0</v>
      </c>
      <c r="I23" s="11">
        <f t="shared" si="6"/>
        <v>150</v>
      </c>
      <c r="J23">
        <f t="shared" si="5"/>
        <v>150</v>
      </c>
      <c r="K23">
        <f t="shared" si="7"/>
        <v>0</v>
      </c>
      <c r="L23" t="str">
        <f t="shared" si="8"/>
        <v/>
      </c>
    </row>
    <row r="24" spans="2:29" x14ac:dyDescent="0.25">
      <c r="B24">
        <v>1</v>
      </c>
      <c r="C24">
        <v>14</v>
      </c>
      <c r="D24" s="16">
        <f t="shared" si="10"/>
        <v>7</v>
      </c>
      <c r="E24" s="14">
        <v>0</v>
      </c>
      <c r="F24" s="14">
        <v>0</v>
      </c>
      <c r="G24" s="14">
        <v>0</v>
      </c>
      <c r="H24" s="15">
        <v>0</v>
      </c>
      <c r="I24" s="11">
        <f t="shared" si="6"/>
        <v>150</v>
      </c>
      <c r="J24">
        <f t="shared" si="5"/>
        <v>150</v>
      </c>
      <c r="K24">
        <f t="shared" si="7"/>
        <v>0</v>
      </c>
      <c r="L24" t="str">
        <f t="shared" si="8"/>
        <v/>
      </c>
    </row>
    <row r="25" spans="2:29" x14ac:dyDescent="0.25">
      <c r="B25">
        <v>1</v>
      </c>
      <c r="C25">
        <v>15</v>
      </c>
      <c r="D25" s="8">
        <f t="shared" si="10"/>
        <v>1</v>
      </c>
      <c r="E25" s="9">
        <v>1</v>
      </c>
      <c r="F25" s="9">
        <v>1</v>
      </c>
      <c r="G25" s="9">
        <v>96</v>
      </c>
      <c r="H25" s="10">
        <v>134</v>
      </c>
      <c r="I25" s="11">
        <f t="shared" si="6"/>
        <v>150</v>
      </c>
      <c r="J25">
        <f t="shared" si="5"/>
        <v>112</v>
      </c>
      <c r="K25">
        <f t="shared" si="7"/>
        <v>0</v>
      </c>
      <c r="L25">
        <f t="shared" si="8"/>
        <v>134</v>
      </c>
    </row>
    <row r="26" spans="2:29" x14ac:dyDescent="0.25">
      <c r="B26">
        <v>1</v>
      </c>
      <c r="C26">
        <v>16</v>
      </c>
      <c r="D26" s="12">
        <f t="shared" si="10"/>
        <v>2</v>
      </c>
      <c r="E26" s="11">
        <v>1</v>
      </c>
      <c r="F26" s="11">
        <v>1</v>
      </c>
      <c r="G26" s="11">
        <v>96</v>
      </c>
      <c r="H26" s="13">
        <v>112</v>
      </c>
      <c r="I26" s="11">
        <f t="shared" si="6"/>
        <v>112</v>
      </c>
      <c r="J26">
        <f t="shared" si="5"/>
        <v>96</v>
      </c>
      <c r="K26">
        <f t="shared" si="7"/>
        <v>1</v>
      </c>
      <c r="L26" t="str">
        <f t="shared" si="8"/>
        <v/>
      </c>
    </row>
    <row r="27" spans="2:29" x14ac:dyDescent="0.25">
      <c r="B27">
        <v>1</v>
      </c>
      <c r="C27">
        <v>17</v>
      </c>
      <c r="D27" s="12">
        <f t="shared" si="10"/>
        <v>3</v>
      </c>
      <c r="E27" s="11">
        <v>1</v>
      </c>
      <c r="F27" s="11">
        <v>1</v>
      </c>
      <c r="G27" s="11">
        <v>95</v>
      </c>
      <c r="H27" s="13">
        <v>96</v>
      </c>
      <c r="I27" s="11">
        <f t="shared" si="6"/>
        <v>96</v>
      </c>
      <c r="J27">
        <f t="shared" si="5"/>
        <v>95</v>
      </c>
      <c r="K27">
        <f t="shared" si="7"/>
        <v>1</v>
      </c>
      <c r="L27" t="str">
        <f t="shared" si="8"/>
        <v/>
      </c>
    </row>
    <row r="28" spans="2:29" x14ac:dyDescent="0.25">
      <c r="B28">
        <v>1</v>
      </c>
      <c r="C28">
        <v>18</v>
      </c>
      <c r="D28" s="12">
        <f t="shared" si="10"/>
        <v>4</v>
      </c>
      <c r="E28" s="11">
        <v>1</v>
      </c>
      <c r="F28" s="11">
        <v>1</v>
      </c>
      <c r="G28" s="11">
        <v>104</v>
      </c>
      <c r="H28" s="13">
        <v>95</v>
      </c>
      <c r="I28" s="11">
        <f t="shared" si="6"/>
        <v>95</v>
      </c>
      <c r="J28">
        <f t="shared" si="5"/>
        <v>104</v>
      </c>
      <c r="K28">
        <f t="shared" si="7"/>
        <v>1</v>
      </c>
      <c r="L28" t="str">
        <f t="shared" si="8"/>
        <v/>
      </c>
    </row>
    <row r="29" spans="2:29" x14ac:dyDescent="0.25">
      <c r="B29">
        <v>1</v>
      </c>
      <c r="C29">
        <v>19</v>
      </c>
      <c r="D29" s="12">
        <f t="shared" si="10"/>
        <v>5</v>
      </c>
      <c r="E29" s="11">
        <v>1</v>
      </c>
      <c r="F29" s="11">
        <v>0</v>
      </c>
      <c r="G29" s="11">
        <v>88</v>
      </c>
      <c r="H29" s="13">
        <v>0</v>
      </c>
      <c r="I29" s="11">
        <f t="shared" si="6"/>
        <v>104</v>
      </c>
      <c r="J29">
        <f t="shared" si="5"/>
        <v>192</v>
      </c>
      <c r="K29">
        <f t="shared" si="7"/>
        <v>0</v>
      </c>
      <c r="L29" t="str">
        <f t="shared" si="8"/>
        <v/>
      </c>
    </row>
    <row r="30" spans="2:29" x14ac:dyDescent="0.25">
      <c r="B30">
        <v>1</v>
      </c>
      <c r="C30">
        <v>20</v>
      </c>
      <c r="D30" s="12">
        <f t="shared" si="10"/>
        <v>6</v>
      </c>
      <c r="E30" s="11">
        <v>0</v>
      </c>
      <c r="F30" s="11">
        <v>0</v>
      </c>
      <c r="G30" s="11">
        <v>0</v>
      </c>
      <c r="H30" s="13">
        <v>0</v>
      </c>
      <c r="I30" s="11">
        <f t="shared" si="6"/>
        <v>192</v>
      </c>
      <c r="J30">
        <f t="shared" si="5"/>
        <v>192</v>
      </c>
      <c r="K30">
        <f t="shared" si="7"/>
        <v>0</v>
      </c>
      <c r="L30" t="str">
        <f t="shared" si="8"/>
        <v/>
      </c>
    </row>
    <row r="31" spans="2:29" x14ac:dyDescent="0.25">
      <c r="B31">
        <v>1</v>
      </c>
      <c r="C31">
        <v>21</v>
      </c>
      <c r="D31" s="16">
        <f t="shared" si="10"/>
        <v>7</v>
      </c>
      <c r="E31" s="14">
        <v>0</v>
      </c>
      <c r="F31" s="14">
        <v>0</v>
      </c>
      <c r="G31" s="14">
        <v>0</v>
      </c>
      <c r="H31" s="15">
        <v>0</v>
      </c>
      <c r="I31" s="11">
        <f t="shared" si="6"/>
        <v>192</v>
      </c>
      <c r="J31">
        <f t="shared" si="5"/>
        <v>192</v>
      </c>
      <c r="K31">
        <f t="shared" si="7"/>
        <v>0</v>
      </c>
      <c r="L31" t="str">
        <f t="shared" si="8"/>
        <v/>
      </c>
    </row>
    <row r="32" spans="2:29" x14ac:dyDescent="0.25">
      <c r="B32">
        <v>1</v>
      </c>
      <c r="C32">
        <v>22</v>
      </c>
      <c r="D32" s="8">
        <f t="shared" si="10"/>
        <v>1</v>
      </c>
      <c r="E32" s="9">
        <v>1</v>
      </c>
      <c r="F32" s="9">
        <v>1</v>
      </c>
      <c r="G32" s="9">
        <v>77</v>
      </c>
      <c r="H32" s="10">
        <v>133</v>
      </c>
      <c r="I32" s="11">
        <f t="shared" si="6"/>
        <v>192</v>
      </c>
      <c r="J32">
        <f t="shared" si="5"/>
        <v>136</v>
      </c>
      <c r="K32">
        <f t="shared" si="7"/>
        <v>0</v>
      </c>
      <c r="L32">
        <f t="shared" si="8"/>
        <v>133</v>
      </c>
    </row>
    <row r="33" spans="2:12" x14ac:dyDescent="0.25">
      <c r="B33">
        <v>1</v>
      </c>
      <c r="C33">
        <v>23</v>
      </c>
      <c r="D33" s="12">
        <f t="shared" si="10"/>
        <v>2</v>
      </c>
      <c r="E33" s="11">
        <v>1</v>
      </c>
      <c r="F33" s="11">
        <v>1</v>
      </c>
      <c r="G33" s="11">
        <v>86</v>
      </c>
      <c r="H33" s="13">
        <v>136</v>
      </c>
      <c r="I33" s="11">
        <f t="shared" si="6"/>
        <v>136</v>
      </c>
      <c r="J33">
        <f t="shared" si="5"/>
        <v>86</v>
      </c>
      <c r="K33">
        <f t="shared" si="7"/>
        <v>1</v>
      </c>
      <c r="L33" t="str">
        <f t="shared" si="8"/>
        <v/>
      </c>
    </row>
    <row r="34" spans="2:12" x14ac:dyDescent="0.25">
      <c r="B34">
        <v>1</v>
      </c>
      <c r="C34">
        <v>24</v>
      </c>
      <c r="D34" s="12">
        <f t="shared" si="10"/>
        <v>3</v>
      </c>
      <c r="E34" s="11">
        <v>1</v>
      </c>
      <c r="F34" s="11">
        <v>1</v>
      </c>
      <c r="G34" s="11">
        <v>86</v>
      </c>
      <c r="H34" s="13">
        <v>86</v>
      </c>
      <c r="I34" s="11">
        <f t="shared" si="6"/>
        <v>86</v>
      </c>
      <c r="J34">
        <f t="shared" si="5"/>
        <v>86</v>
      </c>
      <c r="K34">
        <f t="shared" si="7"/>
        <v>1</v>
      </c>
      <c r="L34" t="str">
        <f t="shared" si="8"/>
        <v/>
      </c>
    </row>
    <row r="35" spans="2:12" x14ac:dyDescent="0.25">
      <c r="B35">
        <v>1</v>
      </c>
      <c r="C35">
        <v>25</v>
      </c>
      <c r="D35" s="12">
        <f t="shared" si="10"/>
        <v>4</v>
      </c>
      <c r="E35" s="11">
        <v>1</v>
      </c>
      <c r="F35" s="11">
        <v>1</v>
      </c>
      <c r="G35" s="11">
        <v>93</v>
      </c>
      <c r="H35" s="13">
        <v>86</v>
      </c>
      <c r="I35" s="11">
        <f t="shared" si="6"/>
        <v>86</v>
      </c>
      <c r="J35">
        <f t="shared" si="5"/>
        <v>93</v>
      </c>
      <c r="K35">
        <f t="shared" si="7"/>
        <v>1</v>
      </c>
      <c r="L35" t="str">
        <f t="shared" si="8"/>
        <v/>
      </c>
    </row>
    <row r="36" spans="2:12" x14ac:dyDescent="0.25">
      <c r="B36">
        <v>1</v>
      </c>
      <c r="C36">
        <v>26</v>
      </c>
      <c r="D36" s="12">
        <f t="shared" si="10"/>
        <v>5</v>
      </c>
      <c r="E36" s="11">
        <v>1</v>
      </c>
      <c r="F36" s="11">
        <v>0</v>
      </c>
      <c r="G36" s="11">
        <v>99</v>
      </c>
      <c r="H36" s="13">
        <v>0</v>
      </c>
      <c r="I36" s="11">
        <f t="shared" si="6"/>
        <v>93</v>
      </c>
      <c r="J36">
        <f t="shared" si="5"/>
        <v>192</v>
      </c>
      <c r="K36">
        <f t="shared" si="7"/>
        <v>0</v>
      </c>
      <c r="L36" t="str">
        <f t="shared" si="8"/>
        <v/>
      </c>
    </row>
    <row r="37" spans="2:12" x14ac:dyDescent="0.25">
      <c r="B37">
        <v>1</v>
      </c>
      <c r="C37">
        <v>27</v>
      </c>
      <c r="D37" s="12">
        <f t="shared" si="10"/>
        <v>6</v>
      </c>
      <c r="E37" s="11">
        <v>0</v>
      </c>
      <c r="F37" s="11">
        <v>0</v>
      </c>
      <c r="G37" s="11">
        <v>0</v>
      </c>
      <c r="H37" s="13">
        <v>0</v>
      </c>
      <c r="I37" s="11">
        <f t="shared" si="6"/>
        <v>192</v>
      </c>
      <c r="J37">
        <f t="shared" si="5"/>
        <v>192</v>
      </c>
      <c r="K37">
        <f t="shared" si="7"/>
        <v>0</v>
      </c>
      <c r="L37" t="str">
        <f t="shared" si="8"/>
        <v/>
      </c>
    </row>
    <row r="38" spans="2:12" x14ac:dyDescent="0.25">
      <c r="B38">
        <v>1</v>
      </c>
      <c r="C38">
        <v>28</v>
      </c>
      <c r="D38" s="16">
        <f t="shared" si="10"/>
        <v>7</v>
      </c>
      <c r="E38" s="14">
        <v>0</v>
      </c>
      <c r="F38" s="14">
        <v>0</v>
      </c>
      <c r="G38" s="14">
        <v>0</v>
      </c>
      <c r="H38" s="15">
        <v>0</v>
      </c>
      <c r="I38" s="11">
        <f t="shared" si="6"/>
        <v>192</v>
      </c>
      <c r="J38">
        <f t="shared" si="5"/>
        <v>192</v>
      </c>
      <c r="K38">
        <f t="shared" si="7"/>
        <v>0</v>
      </c>
      <c r="L38" t="str">
        <f t="shared" si="8"/>
        <v/>
      </c>
    </row>
    <row r="39" spans="2:12" x14ac:dyDescent="0.25">
      <c r="B39">
        <v>1</v>
      </c>
      <c r="C39">
        <v>29</v>
      </c>
      <c r="D39" s="8">
        <f t="shared" si="10"/>
        <v>1</v>
      </c>
      <c r="E39" s="9">
        <v>1</v>
      </c>
      <c r="F39" s="9">
        <v>1</v>
      </c>
      <c r="G39" s="9">
        <v>65</v>
      </c>
      <c r="H39" s="10">
        <v>133</v>
      </c>
      <c r="I39" s="11">
        <f t="shared" si="6"/>
        <v>192</v>
      </c>
      <c r="J39">
        <f t="shared" si="5"/>
        <v>124</v>
      </c>
      <c r="K39">
        <f t="shared" si="7"/>
        <v>0</v>
      </c>
      <c r="L39">
        <f t="shared" si="8"/>
        <v>133</v>
      </c>
    </row>
    <row r="40" spans="2:12" x14ac:dyDescent="0.25">
      <c r="B40">
        <v>1</v>
      </c>
      <c r="C40">
        <v>30</v>
      </c>
      <c r="D40" s="12">
        <f t="shared" si="10"/>
        <v>2</v>
      </c>
      <c r="E40" s="11">
        <v>1</v>
      </c>
      <c r="F40" s="11">
        <v>1</v>
      </c>
      <c r="G40" s="11">
        <v>79</v>
      </c>
      <c r="H40" s="13">
        <v>124</v>
      </c>
      <c r="I40" s="11">
        <f t="shared" si="6"/>
        <v>124</v>
      </c>
      <c r="J40">
        <f t="shared" si="5"/>
        <v>79</v>
      </c>
      <c r="K40">
        <f t="shared" si="7"/>
        <v>1</v>
      </c>
      <c r="L40" t="str">
        <f t="shared" si="8"/>
        <v/>
      </c>
    </row>
    <row r="41" spans="2:12" x14ac:dyDescent="0.25">
      <c r="B41">
        <v>1</v>
      </c>
      <c r="C41">
        <v>31</v>
      </c>
      <c r="D41" s="12">
        <f t="shared" si="10"/>
        <v>3</v>
      </c>
      <c r="E41" s="11">
        <v>1</v>
      </c>
      <c r="F41" s="11">
        <v>1</v>
      </c>
      <c r="G41" s="11">
        <v>90</v>
      </c>
      <c r="H41" s="13">
        <v>79</v>
      </c>
      <c r="I41" s="11">
        <f t="shared" si="6"/>
        <v>79</v>
      </c>
      <c r="J41">
        <f t="shared" si="5"/>
        <v>90</v>
      </c>
      <c r="K41">
        <f t="shared" si="7"/>
        <v>1</v>
      </c>
      <c r="L41" t="str">
        <f t="shared" si="8"/>
        <v/>
      </c>
    </row>
    <row r="42" spans="2:12" x14ac:dyDescent="0.25">
      <c r="B42">
        <v>1</v>
      </c>
      <c r="C42">
        <v>32</v>
      </c>
      <c r="D42" s="12">
        <f t="shared" si="10"/>
        <v>4</v>
      </c>
      <c r="E42" s="11">
        <v>1</v>
      </c>
      <c r="F42" s="11">
        <v>1</v>
      </c>
      <c r="G42" s="11">
        <v>105</v>
      </c>
      <c r="H42" s="13">
        <v>90</v>
      </c>
      <c r="I42" s="11">
        <f t="shared" si="6"/>
        <v>90</v>
      </c>
      <c r="J42">
        <f t="shared" si="5"/>
        <v>105</v>
      </c>
      <c r="K42">
        <f t="shared" si="7"/>
        <v>1</v>
      </c>
      <c r="L42" t="str">
        <f t="shared" si="8"/>
        <v/>
      </c>
    </row>
    <row r="43" spans="2:12" x14ac:dyDescent="0.25">
      <c r="B43">
        <v>1</v>
      </c>
      <c r="C43">
        <v>33</v>
      </c>
      <c r="D43" s="12">
        <f t="shared" si="10"/>
        <v>5</v>
      </c>
      <c r="E43" s="11">
        <v>1</v>
      </c>
      <c r="F43" s="11">
        <v>0</v>
      </c>
      <c r="G43" s="11">
        <v>99</v>
      </c>
      <c r="H43" s="13">
        <v>0</v>
      </c>
      <c r="I43" s="11">
        <f t="shared" si="6"/>
        <v>105</v>
      </c>
      <c r="J43">
        <f t="shared" si="5"/>
        <v>204</v>
      </c>
      <c r="K43">
        <f t="shared" si="7"/>
        <v>0</v>
      </c>
      <c r="L43" t="str">
        <f t="shared" si="8"/>
        <v/>
      </c>
    </row>
    <row r="44" spans="2:12" x14ac:dyDescent="0.25">
      <c r="B44">
        <v>1</v>
      </c>
      <c r="C44">
        <v>34</v>
      </c>
      <c r="D44" s="12">
        <f t="shared" si="10"/>
        <v>6</v>
      </c>
      <c r="E44" s="11">
        <v>0</v>
      </c>
      <c r="F44" s="11">
        <v>0</v>
      </c>
      <c r="G44" s="11">
        <v>0</v>
      </c>
      <c r="H44" s="13">
        <v>0</v>
      </c>
      <c r="I44" s="11">
        <f t="shared" si="6"/>
        <v>204</v>
      </c>
      <c r="J44">
        <f t="shared" si="5"/>
        <v>204</v>
      </c>
      <c r="K44">
        <f t="shared" si="7"/>
        <v>0</v>
      </c>
      <c r="L44" t="str">
        <f t="shared" si="8"/>
        <v/>
      </c>
    </row>
    <row r="45" spans="2:12" x14ac:dyDescent="0.25">
      <c r="B45">
        <v>1</v>
      </c>
      <c r="C45">
        <v>35</v>
      </c>
      <c r="D45" s="16">
        <f t="shared" si="10"/>
        <v>7</v>
      </c>
      <c r="E45" s="14">
        <v>0</v>
      </c>
      <c r="F45" s="14">
        <v>0</v>
      </c>
      <c r="G45" s="14">
        <v>0</v>
      </c>
      <c r="H45" s="15">
        <v>0</v>
      </c>
      <c r="I45" s="11">
        <f t="shared" si="6"/>
        <v>204</v>
      </c>
      <c r="J45">
        <f t="shared" si="5"/>
        <v>204</v>
      </c>
      <c r="K45">
        <f t="shared" si="7"/>
        <v>0</v>
      </c>
      <c r="L45" t="str">
        <f t="shared" si="8"/>
        <v/>
      </c>
    </row>
    <row r="46" spans="2:12" x14ac:dyDescent="0.25">
      <c r="B46">
        <v>1</v>
      </c>
      <c r="C46">
        <v>36</v>
      </c>
      <c r="D46" s="8">
        <f t="shared" si="10"/>
        <v>1</v>
      </c>
      <c r="E46" s="9">
        <v>1</v>
      </c>
      <c r="F46" s="9">
        <v>1</v>
      </c>
      <c r="G46" s="9">
        <v>137</v>
      </c>
      <c r="H46" s="10">
        <v>142</v>
      </c>
      <c r="I46" s="11">
        <f t="shared" si="6"/>
        <v>204</v>
      </c>
      <c r="J46">
        <f t="shared" si="5"/>
        <v>199</v>
      </c>
      <c r="K46">
        <f t="shared" si="7"/>
        <v>0</v>
      </c>
      <c r="L46">
        <f t="shared" si="8"/>
        <v>142</v>
      </c>
    </row>
    <row r="47" spans="2:12" x14ac:dyDescent="0.25">
      <c r="B47">
        <v>1</v>
      </c>
      <c r="C47">
        <v>37</v>
      </c>
      <c r="D47" s="12">
        <f t="shared" si="10"/>
        <v>2</v>
      </c>
      <c r="E47" s="11">
        <v>1</v>
      </c>
      <c r="F47" s="11">
        <v>1</v>
      </c>
      <c r="G47" s="11">
        <v>105</v>
      </c>
      <c r="H47" s="13">
        <v>160</v>
      </c>
      <c r="I47" s="11">
        <f t="shared" si="6"/>
        <v>199</v>
      </c>
      <c r="J47">
        <f t="shared" si="5"/>
        <v>144</v>
      </c>
      <c r="K47">
        <f t="shared" si="7"/>
        <v>0</v>
      </c>
      <c r="L47">
        <f t="shared" si="8"/>
        <v>160</v>
      </c>
    </row>
    <row r="48" spans="2:12" x14ac:dyDescent="0.25">
      <c r="B48">
        <v>1</v>
      </c>
      <c r="C48">
        <v>38</v>
      </c>
      <c r="D48" s="12">
        <f t="shared" si="10"/>
        <v>3</v>
      </c>
      <c r="E48" s="11">
        <v>1</v>
      </c>
      <c r="F48" s="11">
        <v>1</v>
      </c>
      <c r="G48" s="11">
        <v>106</v>
      </c>
      <c r="H48" s="13">
        <v>133</v>
      </c>
      <c r="I48" s="11">
        <f t="shared" si="6"/>
        <v>144</v>
      </c>
      <c r="J48">
        <f t="shared" si="5"/>
        <v>117</v>
      </c>
      <c r="K48">
        <f t="shared" si="7"/>
        <v>0</v>
      </c>
      <c r="L48">
        <f t="shared" si="8"/>
        <v>133</v>
      </c>
    </row>
    <row r="49" spans="2:12" x14ac:dyDescent="0.25">
      <c r="B49">
        <v>1</v>
      </c>
      <c r="C49">
        <v>39</v>
      </c>
      <c r="D49" s="12">
        <f t="shared" si="10"/>
        <v>4</v>
      </c>
      <c r="E49" s="11">
        <v>1</v>
      </c>
      <c r="F49" s="11">
        <v>1</v>
      </c>
      <c r="G49" s="11">
        <v>84</v>
      </c>
      <c r="H49" s="13">
        <v>117</v>
      </c>
      <c r="I49" s="11">
        <f t="shared" si="6"/>
        <v>117</v>
      </c>
      <c r="J49">
        <f t="shared" si="5"/>
        <v>84</v>
      </c>
      <c r="K49">
        <f t="shared" si="7"/>
        <v>1</v>
      </c>
      <c r="L49" t="str">
        <f t="shared" si="8"/>
        <v/>
      </c>
    </row>
    <row r="50" spans="2:12" x14ac:dyDescent="0.25">
      <c r="B50">
        <v>1</v>
      </c>
      <c r="C50">
        <v>40</v>
      </c>
      <c r="D50" s="12">
        <f t="shared" si="10"/>
        <v>5</v>
      </c>
      <c r="E50" s="11">
        <v>1</v>
      </c>
      <c r="F50" s="11">
        <v>0</v>
      </c>
      <c r="G50" s="11">
        <v>122</v>
      </c>
      <c r="H50" s="13">
        <v>0</v>
      </c>
      <c r="I50" s="11">
        <f t="shared" si="6"/>
        <v>84</v>
      </c>
      <c r="J50">
        <f t="shared" si="5"/>
        <v>206</v>
      </c>
      <c r="K50">
        <f t="shared" si="7"/>
        <v>0</v>
      </c>
      <c r="L50" t="str">
        <f t="shared" si="8"/>
        <v/>
      </c>
    </row>
    <row r="51" spans="2:12" x14ac:dyDescent="0.25">
      <c r="B51">
        <v>1</v>
      </c>
      <c r="C51">
        <v>41</v>
      </c>
      <c r="D51" s="12">
        <f t="shared" si="10"/>
        <v>6</v>
      </c>
      <c r="E51" s="11">
        <v>0</v>
      </c>
      <c r="F51" s="11">
        <v>0</v>
      </c>
      <c r="G51" s="11">
        <v>0</v>
      </c>
      <c r="H51" s="13">
        <v>0</v>
      </c>
      <c r="I51" s="11">
        <f t="shared" si="6"/>
        <v>206</v>
      </c>
      <c r="J51">
        <f t="shared" si="5"/>
        <v>206</v>
      </c>
      <c r="K51">
        <f t="shared" si="7"/>
        <v>0</v>
      </c>
      <c r="L51" t="str">
        <f t="shared" si="8"/>
        <v/>
      </c>
    </row>
    <row r="52" spans="2:12" x14ac:dyDescent="0.25">
      <c r="B52">
        <v>1</v>
      </c>
      <c r="C52">
        <v>42</v>
      </c>
      <c r="D52" s="16">
        <f t="shared" si="10"/>
        <v>7</v>
      </c>
      <c r="E52" s="14">
        <v>0</v>
      </c>
      <c r="F52" s="14">
        <v>0</v>
      </c>
      <c r="G52" s="14">
        <v>0</v>
      </c>
      <c r="H52" s="15">
        <v>0</v>
      </c>
      <c r="I52" s="11">
        <f t="shared" si="6"/>
        <v>206</v>
      </c>
      <c r="J52">
        <f t="shared" si="5"/>
        <v>206</v>
      </c>
      <c r="K52">
        <f t="shared" si="7"/>
        <v>0</v>
      </c>
      <c r="L52" t="str">
        <f t="shared" si="8"/>
        <v/>
      </c>
    </row>
    <row r="53" spans="2:12" x14ac:dyDescent="0.25">
      <c r="B53">
        <v>2</v>
      </c>
      <c r="C53">
        <v>43</v>
      </c>
      <c r="D53" s="8">
        <f t="shared" si="10"/>
        <v>1</v>
      </c>
      <c r="E53" s="9">
        <v>1</v>
      </c>
      <c r="F53" s="9">
        <v>1</v>
      </c>
      <c r="G53" s="9">
        <v>136</v>
      </c>
      <c r="H53" s="10">
        <v>158</v>
      </c>
      <c r="I53" s="11">
        <f t="shared" si="6"/>
        <v>206</v>
      </c>
      <c r="J53">
        <f t="shared" si="5"/>
        <v>184</v>
      </c>
      <c r="K53">
        <f t="shared" si="7"/>
        <v>0</v>
      </c>
      <c r="L53">
        <f t="shared" si="8"/>
        <v>158</v>
      </c>
    </row>
    <row r="54" spans="2:12" x14ac:dyDescent="0.25">
      <c r="B54">
        <v>2</v>
      </c>
      <c r="C54">
        <v>44</v>
      </c>
      <c r="D54" s="12">
        <f t="shared" si="10"/>
        <v>2</v>
      </c>
      <c r="E54" s="11">
        <v>1</v>
      </c>
      <c r="F54" s="11">
        <v>1</v>
      </c>
      <c r="G54" s="11">
        <v>18</v>
      </c>
      <c r="H54" s="13">
        <v>136</v>
      </c>
      <c r="I54" s="11">
        <f t="shared" si="6"/>
        <v>184</v>
      </c>
      <c r="J54">
        <f t="shared" si="5"/>
        <v>66</v>
      </c>
      <c r="K54">
        <f t="shared" si="7"/>
        <v>0</v>
      </c>
      <c r="L54">
        <f t="shared" si="8"/>
        <v>136</v>
      </c>
    </row>
    <row r="55" spans="2:12" x14ac:dyDescent="0.25">
      <c r="B55">
        <v>2</v>
      </c>
      <c r="C55">
        <v>45</v>
      </c>
      <c r="D55" s="12">
        <f t="shared" si="10"/>
        <v>3</v>
      </c>
      <c r="E55" s="11">
        <v>1</v>
      </c>
      <c r="F55" s="11">
        <v>1</v>
      </c>
      <c r="G55" s="11">
        <v>38</v>
      </c>
      <c r="H55" s="13">
        <v>66</v>
      </c>
      <c r="I55" s="11">
        <f t="shared" si="6"/>
        <v>66</v>
      </c>
      <c r="J55">
        <f t="shared" si="5"/>
        <v>38</v>
      </c>
      <c r="K55">
        <f t="shared" si="7"/>
        <v>1</v>
      </c>
      <c r="L55" t="str">
        <f t="shared" si="8"/>
        <v/>
      </c>
    </row>
    <row r="56" spans="2:12" x14ac:dyDescent="0.25">
      <c r="B56">
        <v>2</v>
      </c>
      <c r="C56">
        <v>46</v>
      </c>
      <c r="D56" s="12">
        <f t="shared" si="10"/>
        <v>4</v>
      </c>
      <c r="E56" s="11">
        <v>1</v>
      </c>
      <c r="F56" s="11">
        <v>1</v>
      </c>
      <c r="G56" s="11">
        <v>141</v>
      </c>
      <c r="H56" s="13">
        <v>38</v>
      </c>
      <c r="I56" s="11">
        <f t="shared" si="6"/>
        <v>38</v>
      </c>
      <c r="J56">
        <f t="shared" si="5"/>
        <v>141</v>
      </c>
      <c r="K56">
        <f t="shared" si="7"/>
        <v>1</v>
      </c>
      <c r="L56" t="str">
        <f t="shared" si="8"/>
        <v/>
      </c>
    </row>
    <row r="57" spans="2:12" x14ac:dyDescent="0.25">
      <c r="B57">
        <v>2</v>
      </c>
      <c r="C57">
        <v>47</v>
      </c>
      <c r="D57" s="12">
        <f t="shared" si="10"/>
        <v>5</v>
      </c>
      <c r="E57" s="11">
        <v>1</v>
      </c>
      <c r="F57" s="11">
        <v>0</v>
      </c>
      <c r="G57" s="11">
        <v>121</v>
      </c>
      <c r="H57" s="13">
        <v>0</v>
      </c>
      <c r="I57" s="11">
        <f t="shared" si="6"/>
        <v>141</v>
      </c>
      <c r="J57">
        <f t="shared" si="5"/>
        <v>262</v>
      </c>
      <c r="K57">
        <f t="shared" si="7"/>
        <v>0</v>
      </c>
      <c r="L57" t="str">
        <f t="shared" si="8"/>
        <v/>
      </c>
    </row>
    <row r="58" spans="2:12" x14ac:dyDescent="0.25">
      <c r="B58">
        <v>2</v>
      </c>
      <c r="C58">
        <v>48</v>
      </c>
      <c r="D58" s="12">
        <f t="shared" si="10"/>
        <v>6</v>
      </c>
      <c r="E58" s="11">
        <v>0</v>
      </c>
      <c r="F58" s="11">
        <v>0</v>
      </c>
      <c r="G58" s="11">
        <v>0</v>
      </c>
      <c r="H58" s="13">
        <v>0</v>
      </c>
      <c r="I58" s="11">
        <f t="shared" si="6"/>
        <v>262</v>
      </c>
      <c r="J58">
        <f t="shared" si="5"/>
        <v>262</v>
      </c>
      <c r="K58">
        <f t="shared" si="7"/>
        <v>0</v>
      </c>
      <c r="L58" t="str">
        <f t="shared" si="8"/>
        <v/>
      </c>
    </row>
    <row r="59" spans="2:12" x14ac:dyDescent="0.25">
      <c r="B59">
        <v>2</v>
      </c>
      <c r="C59">
        <v>49</v>
      </c>
      <c r="D59" s="16">
        <f t="shared" si="10"/>
        <v>7</v>
      </c>
      <c r="E59" s="14">
        <v>0</v>
      </c>
      <c r="F59" s="14">
        <v>0</v>
      </c>
      <c r="G59" s="14">
        <v>0</v>
      </c>
      <c r="H59" s="15">
        <v>0</v>
      </c>
      <c r="I59" s="11">
        <f t="shared" si="6"/>
        <v>262</v>
      </c>
      <c r="J59">
        <f t="shared" si="5"/>
        <v>262</v>
      </c>
      <c r="K59">
        <f t="shared" si="7"/>
        <v>0</v>
      </c>
      <c r="L59" t="str">
        <f t="shared" si="8"/>
        <v/>
      </c>
    </row>
    <row r="60" spans="2:12" x14ac:dyDescent="0.25">
      <c r="B60">
        <v>2</v>
      </c>
      <c r="C60">
        <v>50</v>
      </c>
      <c r="D60" s="8">
        <f t="shared" si="10"/>
        <v>1</v>
      </c>
      <c r="E60" s="9">
        <v>1</v>
      </c>
      <c r="F60" s="9">
        <v>1</v>
      </c>
      <c r="G60" s="9">
        <v>93</v>
      </c>
      <c r="H60" s="10">
        <v>152</v>
      </c>
      <c r="I60" s="11">
        <f t="shared" si="6"/>
        <v>262</v>
      </c>
      <c r="J60">
        <f t="shared" si="5"/>
        <v>203</v>
      </c>
      <c r="K60">
        <f t="shared" si="7"/>
        <v>0</v>
      </c>
      <c r="L60">
        <f t="shared" si="8"/>
        <v>152</v>
      </c>
    </row>
    <row r="61" spans="2:12" x14ac:dyDescent="0.25">
      <c r="B61">
        <v>2</v>
      </c>
      <c r="C61">
        <v>51</v>
      </c>
      <c r="D61" s="12">
        <f t="shared" si="10"/>
        <v>2</v>
      </c>
      <c r="E61" s="11">
        <v>1</v>
      </c>
      <c r="F61" s="11">
        <v>1</v>
      </c>
      <c r="G61" s="11">
        <v>77</v>
      </c>
      <c r="H61" s="13">
        <v>155</v>
      </c>
      <c r="I61" s="11">
        <f t="shared" si="6"/>
        <v>203</v>
      </c>
      <c r="J61">
        <f t="shared" si="5"/>
        <v>125</v>
      </c>
      <c r="K61">
        <f t="shared" si="7"/>
        <v>0</v>
      </c>
      <c r="L61">
        <f t="shared" si="8"/>
        <v>155</v>
      </c>
    </row>
    <row r="62" spans="2:12" x14ac:dyDescent="0.25">
      <c r="B62">
        <v>2</v>
      </c>
      <c r="C62">
        <v>52</v>
      </c>
      <c r="D62" s="12">
        <f t="shared" si="10"/>
        <v>3</v>
      </c>
      <c r="E62" s="11">
        <v>1</v>
      </c>
      <c r="F62" s="11">
        <v>1</v>
      </c>
      <c r="G62" s="11">
        <v>126</v>
      </c>
      <c r="H62" s="13">
        <v>125</v>
      </c>
      <c r="I62" s="11">
        <f t="shared" si="6"/>
        <v>125</v>
      </c>
      <c r="J62">
        <f t="shared" si="5"/>
        <v>126</v>
      </c>
      <c r="K62">
        <f t="shared" si="7"/>
        <v>1</v>
      </c>
      <c r="L62" t="str">
        <f t="shared" si="8"/>
        <v/>
      </c>
    </row>
    <row r="63" spans="2:12" x14ac:dyDescent="0.25">
      <c r="B63">
        <v>2</v>
      </c>
      <c r="C63">
        <v>53</v>
      </c>
      <c r="D63" s="12">
        <f t="shared" si="10"/>
        <v>4</v>
      </c>
      <c r="E63" s="11">
        <v>1</v>
      </c>
      <c r="F63" s="11">
        <v>1</v>
      </c>
      <c r="G63" s="11">
        <v>129</v>
      </c>
      <c r="H63" s="13">
        <v>126</v>
      </c>
      <c r="I63" s="11">
        <f t="shared" si="6"/>
        <v>126</v>
      </c>
      <c r="J63">
        <f t="shared" si="5"/>
        <v>129</v>
      </c>
      <c r="K63">
        <f t="shared" si="7"/>
        <v>1</v>
      </c>
      <c r="L63" t="str">
        <f t="shared" si="8"/>
        <v/>
      </c>
    </row>
    <row r="64" spans="2:12" x14ac:dyDescent="0.25">
      <c r="B64">
        <v>2</v>
      </c>
      <c r="C64">
        <v>54</v>
      </c>
      <c r="D64" s="12">
        <f t="shared" si="10"/>
        <v>5</v>
      </c>
      <c r="E64" s="11">
        <v>1</v>
      </c>
      <c r="F64" s="11">
        <v>0</v>
      </c>
      <c r="G64" s="11">
        <v>102</v>
      </c>
      <c r="H64" s="13">
        <v>0</v>
      </c>
      <c r="I64" s="11">
        <f t="shared" si="6"/>
        <v>129</v>
      </c>
      <c r="J64">
        <f t="shared" si="5"/>
        <v>231</v>
      </c>
      <c r="K64">
        <f t="shared" si="7"/>
        <v>0</v>
      </c>
      <c r="L64" t="str">
        <f t="shared" si="8"/>
        <v/>
      </c>
    </row>
    <row r="65" spans="2:12" x14ac:dyDescent="0.25">
      <c r="B65">
        <v>2</v>
      </c>
      <c r="C65">
        <v>55</v>
      </c>
      <c r="D65" s="12">
        <f t="shared" si="10"/>
        <v>6</v>
      </c>
      <c r="E65" s="11">
        <v>0</v>
      </c>
      <c r="F65" s="11">
        <v>0</v>
      </c>
      <c r="G65" s="11">
        <v>0</v>
      </c>
      <c r="H65" s="13">
        <v>0</v>
      </c>
      <c r="I65" s="11">
        <f t="shared" si="6"/>
        <v>231</v>
      </c>
      <c r="J65">
        <f t="shared" si="5"/>
        <v>231</v>
      </c>
      <c r="K65">
        <f t="shared" si="7"/>
        <v>0</v>
      </c>
      <c r="L65" t="str">
        <f t="shared" si="8"/>
        <v/>
      </c>
    </row>
    <row r="66" spans="2:12" x14ac:dyDescent="0.25">
      <c r="B66">
        <v>2</v>
      </c>
      <c r="C66">
        <v>56</v>
      </c>
      <c r="D66" s="16">
        <f t="shared" si="10"/>
        <v>7</v>
      </c>
      <c r="E66" s="14">
        <v>0</v>
      </c>
      <c r="F66" s="14">
        <v>0</v>
      </c>
      <c r="G66" s="14">
        <v>0</v>
      </c>
      <c r="H66" s="15">
        <v>0</v>
      </c>
      <c r="I66" s="11">
        <f t="shared" si="6"/>
        <v>231</v>
      </c>
      <c r="J66">
        <f t="shared" si="5"/>
        <v>231</v>
      </c>
      <c r="K66">
        <f t="shared" si="7"/>
        <v>0</v>
      </c>
      <c r="L66" t="str">
        <f t="shared" si="8"/>
        <v/>
      </c>
    </row>
    <row r="67" spans="2:12" x14ac:dyDescent="0.25">
      <c r="B67">
        <v>2</v>
      </c>
      <c r="C67">
        <v>57</v>
      </c>
      <c r="D67" s="8">
        <f t="shared" si="10"/>
        <v>1</v>
      </c>
      <c r="E67" s="9">
        <v>1</v>
      </c>
      <c r="F67" s="9">
        <v>1</v>
      </c>
      <c r="G67" s="9">
        <v>126</v>
      </c>
      <c r="H67" s="10">
        <v>138</v>
      </c>
      <c r="I67" s="11">
        <f t="shared" si="6"/>
        <v>231</v>
      </c>
      <c r="J67">
        <f t="shared" si="5"/>
        <v>219</v>
      </c>
      <c r="K67">
        <f t="shared" si="7"/>
        <v>0</v>
      </c>
      <c r="L67">
        <f t="shared" si="8"/>
        <v>138</v>
      </c>
    </row>
    <row r="68" spans="2:12" x14ac:dyDescent="0.25">
      <c r="B68">
        <v>2</v>
      </c>
      <c r="C68">
        <v>58</v>
      </c>
      <c r="D68" s="12">
        <f t="shared" si="10"/>
        <v>2</v>
      </c>
      <c r="E68" s="11">
        <v>1</v>
      </c>
      <c r="F68" s="11">
        <v>1</v>
      </c>
      <c r="G68" s="11">
        <v>92</v>
      </c>
      <c r="H68" s="13">
        <v>131</v>
      </c>
      <c r="I68" s="11">
        <f t="shared" si="6"/>
        <v>219</v>
      </c>
      <c r="J68">
        <f t="shared" si="5"/>
        <v>180</v>
      </c>
      <c r="K68">
        <f t="shared" si="7"/>
        <v>0</v>
      </c>
      <c r="L68">
        <f t="shared" si="8"/>
        <v>131</v>
      </c>
    </row>
    <row r="69" spans="2:12" x14ac:dyDescent="0.25">
      <c r="B69">
        <v>2</v>
      </c>
      <c r="C69">
        <v>59</v>
      </c>
      <c r="D69" s="12">
        <f t="shared" si="10"/>
        <v>3</v>
      </c>
      <c r="E69" s="11">
        <v>1</v>
      </c>
      <c r="F69" s="11">
        <v>1</v>
      </c>
      <c r="G69" s="11">
        <v>120</v>
      </c>
      <c r="H69" s="13">
        <v>137</v>
      </c>
      <c r="I69" s="11">
        <f t="shared" si="6"/>
        <v>180</v>
      </c>
      <c r="J69">
        <f t="shared" si="5"/>
        <v>163</v>
      </c>
      <c r="K69">
        <f t="shared" si="7"/>
        <v>0</v>
      </c>
      <c r="L69">
        <f t="shared" si="8"/>
        <v>137</v>
      </c>
    </row>
    <row r="70" spans="2:12" x14ac:dyDescent="0.25">
      <c r="B70">
        <v>2</v>
      </c>
      <c r="C70">
        <v>60</v>
      </c>
      <c r="D70" s="12">
        <f t="shared" si="10"/>
        <v>4</v>
      </c>
      <c r="E70" s="11">
        <v>1</v>
      </c>
      <c r="F70" s="11">
        <v>1</v>
      </c>
      <c r="G70" s="11">
        <v>135</v>
      </c>
      <c r="H70" s="13">
        <v>147</v>
      </c>
      <c r="I70" s="11">
        <f t="shared" si="6"/>
        <v>163</v>
      </c>
      <c r="J70">
        <f t="shared" si="5"/>
        <v>151</v>
      </c>
      <c r="K70">
        <f t="shared" si="7"/>
        <v>0</v>
      </c>
      <c r="L70">
        <f t="shared" si="8"/>
        <v>147</v>
      </c>
    </row>
    <row r="71" spans="2:12" x14ac:dyDescent="0.25">
      <c r="B71">
        <v>2</v>
      </c>
      <c r="C71">
        <v>61</v>
      </c>
      <c r="D71" s="12">
        <f t="shared" si="10"/>
        <v>5</v>
      </c>
      <c r="E71" s="11">
        <v>1</v>
      </c>
      <c r="F71" s="11">
        <v>0</v>
      </c>
      <c r="G71" s="11">
        <v>111</v>
      </c>
      <c r="H71" s="13">
        <v>0</v>
      </c>
      <c r="I71" s="11">
        <f t="shared" si="6"/>
        <v>151</v>
      </c>
      <c r="J71">
        <f t="shared" si="5"/>
        <v>262</v>
      </c>
      <c r="K71">
        <f t="shared" si="7"/>
        <v>0</v>
      </c>
      <c r="L71" t="str">
        <f t="shared" si="8"/>
        <v/>
      </c>
    </row>
    <row r="72" spans="2:12" x14ac:dyDescent="0.25">
      <c r="B72">
        <v>2</v>
      </c>
      <c r="C72">
        <v>62</v>
      </c>
      <c r="D72" s="12">
        <f t="shared" si="10"/>
        <v>6</v>
      </c>
      <c r="E72" s="11">
        <v>0</v>
      </c>
      <c r="F72" s="11">
        <v>0</v>
      </c>
      <c r="G72" s="11">
        <v>0</v>
      </c>
      <c r="H72" s="13">
        <v>0</v>
      </c>
      <c r="I72" s="11">
        <f t="shared" si="6"/>
        <v>262</v>
      </c>
      <c r="J72">
        <f t="shared" si="5"/>
        <v>262</v>
      </c>
      <c r="K72">
        <f t="shared" si="7"/>
        <v>0</v>
      </c>
      <c r="L72" t="str">
        <f t="shared" si="8"/>
        <v/>
      </c>
    </row>
    <row r="73" spans="2:12" x14ac:dyDescent="0.25">
      <c r="B73">
        <v>2</v>
      </c>
      <c r="C73">
        <v>63</v>
      </c>
      <c r="D73" s="16">
        <f t="shared" si="10"/>
        <v>7</v>
      </c>
      <c r="E73" s="14">
        <v>0</v>
      </c>
      <c r="F73" s="14">
        <v>0</v>
      </c>
      <c r="G73" s="14">
        <v>0</v>
      </c>
      <c r="H73" s="15">
        <v>0</v>
      </c>
      <c r="I73" s="11">
        <f t="shared" si="6"/>
        <v>262</v>
      </c>
      <c r="J73">
        <f t="shared" si="5"/>
        <v>262</v>
      </c>
      <c r="K73">
        <f t="shared" si="7"/>
        <v>0</v>
      </c>
      <c r="L73" t="str">
        <f t="shared" si="8"/>
        <v/>
      </c>
    </row>
    <row r="74" spans="2:12" x14ac:dyDescent="0.25">
      <c r="B74">
        <v>2</v>
      </c>
      <c r="C74">
        <v>64</v>
      </c>
      <c r="D74" s="8">
        <f t="shared" si="10"/>
        <v>1</v>
      </c>
      <c r="E74" s="9">
        <v>1</v>
      </c>
      <c r="F74" s="9">
        <v>1</v>
      </c>
      <c r="G74" s="9">
        <v>162</v>
      </c>
      <c r="H74" s="10">
        <v>155</v>
      </c>
      <c r="I74" s="11">
        <f t="shared" si="6"/>
        <v>262</v>
      </c>
      <c r="J74">
        <f t="shared" si="5"/>
        <v>269</v>
      </c>
      <c r="K74">
        <f t="shared" si="7"/>
        <v>0</v>
      </c>
      <c r="L74">
        <f t="shared" si="8"/>
        <v>155</v>
      </c>
    </row>
    <row r="75" spans="2:12" x14ac:dyDescent="0.25">
      <c r="B75">
        <v>2</v>
      </c>
      <c r="C75">
        <v>65</v>
      </c>
      <c r="D75" s="12">
        <f t="shared" si="10"/>
        <v>2</v>
      </c>
      <c r="E75" s="11">
        <v>1</v>
      </c>
      <c r="F75" s="11">
        <v>1</v>
      </c>
      <c r="G75" s="11">
        <v>162</v>
      </c>
      <c r="H75" s="13">
        <v>158</v>
      </c>
      <c r="I75" s="11">
        <f t="shared" si="6"/>
        <v>269</v>
      </c>
      <c r="J75">
        <f t="shared" si="5"/>
        <v>273</v>
      </c>
      <c r="K75">
        <f t="shared" si="7"/>
        <v>0</v>
      </c>
      <c r="L75">
        <f t="shared" si="8"/>
        <v>158</v>
      </c>
    </row>
    <row r="76" spans="2:12" x14ac:dyDescent="0.25">
      <c r="B76">
        <v>2</v>
      </c>
      <c r="C76">
        <v>66</v>
      </c>
      <c r="D76" s="12">
        <f t="shared" si="10"/>
        <v>3</v>
      </c>
      <c r="E76" s="11">
        <v>1</v>
      </c>
      <c r="F76" s="11">
        <v>1</v>
      </c>
      <c r="G76" s="11">
        <v>179</v>
      </c>
      <c r="H76" s="13">
        <v>150</v>
      </c>
      <c r="I76" s="11">
        <f t="shared" si="6"/>
        <v>273</v>
      </c>
      <c r="J76">
        <f t="shared" ref="J76:J139" si="11">I76+G76-H76</f>
        <v>302</v>
      </c>
      <c r="K76">
        <f t="shared" si="7"/>
        <v>0</v>
      </c>
      <c r="L76">
        <f t="shared" si="8"/>
        <v>150</v>
      </c>
    </row>
    <row r="77" spans="2:12" x14ac:dyDescent="0.25">
      <c r="B77">
        <v>2</v>
      </c>
      <c r="C77">
        <v>67</v>
      </c>
      <c r="D77" s="12">
        <f t="shared" si="10"/>
        <v>4</v>
      </c>
      <c r="E77" s="11">
        <v>1</v>
      </c>
      <c r="F77" s="11">
        <v>1</v>
      </c>
      <c r="G77" s="11">
        <v>175</v>
      </c>
      <c r="H77" s="13">
        <v>153</v>
      </c>
      <c r="I77" s="11">
        <f t="shared" ref="I77:I140" si="12">J76</f>
        <v>302</v>
      </c>
      <c r="J77">
        <f t="shared" si="11"/>
        <v>324</v>
      </c>
      <c r="K77">
        <f t="shared" ref="K77:K140" si="13">IF(AND(H77=I77,F77=1),1,0)</f>
        <v>0</v>
      </c>
      <c r="L77">
        <f t="shared" ref="L77:L140" si="14">IF(OR(F77=0,K77=1),"",H77)</f>
        <v>153</v>
      </c>
    </row>
    <row r="78" spans="2:12" x14ac:dyDescent="0.25">
      <c r="B78">
        <v>2</v>
      </c>
      <c r="C78">
        <v>68</v>
      </c>
      <c r="D78" s="12">
        <f t="shared" si="10"/>
        <v>5</v>
      </c>
      <c r="E78" s="11">
        <v>1</v>
      </c>
      <c r="F78" s="11">
        <v>0</v>
      </c>
      <c r="G78" s="11">
        <v>148</v>
      </c>
      <c r="H78" s="13">
        <v>0</v>
      </c>
      <c r="I78" s="11">
        <f t="shared" si="12"/>
        <v>324</v>
      </c>
      <c r="J78">
        <f t="shared" si="11"/>
        <v>472</v>
      </c>
      <c r="K78">
        <f t="shared" si="13"/>
        <v>0</v>
      </c>
      <c r="L78" t="str">
        <f t="shared" si="14"/>
        <v/>
      </c>
    </row>
    <row r="79" spans="2:12" x14ac:dyDescent="0.25">
      <c r="B79">
        <v>2</v>
      </c>
      <c r="C79">
        <v>69</v>
      </c>
      <c r="D79" s="12">
        <f t="shared" si="10"/>
        <v>6</v>
      </c>
      <c r="E79" s="11">
        <v>0</v>
      </c>
      <c r="F79" s="11">
        <v>0</v>
      </c>
      <c r="G79" s="11">
        <v>0</v>
      </c>
      <c r="H79" s="13">
        <v>0</v>
      </c>
      <c r="I79" s="11">
        <f t="shared" si="12"/>
        <v>472</v>
      </c>
      <c r="J79">
        <f t="shared" si="11"/>
        <v>472</v>
      </c>
      <c r="K79">
        <f t="shared" si="13"/>
        <v>0</v>
      </c>
      <c r="L79" t="str">
        <f t="shared" si="14"/>
        <v/>
      </c>
    </row>
    <row r="80" spans="2:12" x14ac:dyDescent="0.25">
      <c r="B80">
        <v>2</v>
      </c>
      <c r="C80">
        <v>70</v>
      </c>
      <c r="D80" s="16">
        <f t="shared" si="10"/>
        <v>7</v>
      </c>
      <c r="E80" s="14">
        <v>0</v>
      </c>
      <c r="F80" s="14">
        <v>0</v>
      </c>
      <c r="G80" s="14">
        <v>0</v>
      </c>
      <c r="H80" s="15">
        <v>0</v>
      </c>
      <c r="I80" s="11">
        <f t="shared" si="12"/>
        <v>472</v>
      </c>
      <c r="J80">
        <f t="shared" si="11"/>
        <v>472</v>
      </c>
      <c r="K80">
        <f t="shared" si="13"/>
        <v>0</v>
      </c>
      <c r="L80" t="str">
        <f t="shared" si="14"/>
        <v/>
      </c>
    </row>
    <row r="81" spans="2:12" x14ac:dyDescent="0.25">
      <c r="B81">
        <v>2</v>
      </c>
      <c r="C81">
        <v>71</v>
      </c>
      <c r="D81" s="8">
        <f t="shared" si="10"/>
        <v>1</v>
      </c>
      <c r="E81" s="9">
        <v>1</v>
      </c>
      <c r="F81" s="9">
        <v>1</v>
      </c>
      <c r="G81" s="9">
        <v>180</v>
      </c>
      <c r="H81" s="10">
        <v>149</v>
      </c>
      <c r="I81" s="11">
        <f t="shared" si="12"/>
        <v>472</v>
      </c>
      <c r="J81">
        <f t="shared" si="11"/>
        <v>503</v>
      </c>
      <c r="K81">
        <f t="shared" si="13"/>
        <v>0</v>
      </c>
      <c r="L81">
        <f t="shared" si="14"/>
        <v>149</v>
      </c>
    </row>
    <row r="82" spans="2:12" x14ac:dyDescent="0.25">
      <c r="B82">
        <v>2</v>
      </c>
      <c r="C82">
        <v>72</v>
      </c>
      <c r="D82" s="12">
        <f t="shared" si="10"/>
        <v>2</v>
      </c>
      <c r="E82" s="11">
        <v>1</v>
      </c>
      <c r="F82" s="11">
        <v>1</v>
      </c>
      <c r="G82" s="11">
        <v>162</v>
      </c>
      <c r="H82" s="13">
        <v>130</v>
      </c>
      <c r="I82" s="11">
        <f t="shared" si="12"/>
        <v>503</v>
      </c>
      <c r="J82">
        <f t="shared" si="11"/>
        <v>535</v>
      </c>
      <c r="K82">
        <f t="shared" si="13"/>
        <v>0</v>
      </c>
      <c r="L82">
        <f t="shared" si="14"/>
        <v>130</v>
      </c>
    </row>
    <row r="83" spans="2:12" x14ac:dyDescent="0.25">
      <c r="B83">
        <v>2</v>
      </c>
      <c r="C83">
        <v>73</v>
      </c>
      <c r="D83" s="12">
        <f t="shared" ref="D83:D146" si="15">D76</f>
        <v>3</v>
      </c>
      <c r="E83" s="11">
        <v>1</v>
      </c>
      <c r="F83" s="11">
        <v>1</v>
      </c>
      <c r="G83" s="11">
        <v>120</v>
      </c>
      <c r="H83" s="13">
        <v>145</v>
      </c>
      <c r="I83" s="11">
        <f t="shared" si="12"/>
        <v>535</v>
      </c>
      <c r="J83">
        <f t="shared" si="11"/>
        <v>510</v>
      </c>
      <c r="K83">
        <f t="shared" si="13"/>
        <v>0</v>
      </c>
      <c r="L83">
        <f t="shared" si="14"/>
        <v>145</v>
      </c>
    </row>
    <row r="84" spans="2:12" x14ac:dyDescent="0.25">
      <c r="B84">
        <v>2</v>
      </c>
      <c r="C84">
        <v>74</v>
      </c>
      <c r="D84" s="12">
        <f t="shared" si="15"/>
        <v>4</v>
      </c>
      <c r="E84" s="11">
        <v>1</v>
      </c>
      <c r="F84" s="11">
        <v>1</v>
      </c>
      <c r="G84" s="11">
        <v>158</v>
      </c>
      <c r="H84" s="13">
        <v>137</v>
      </c>
      <c r="I84" s="11">
        <f t="shared" si="12"/>
        <v>510</v>
      </c>
      <c r="J84">
        <f t="shared" si="11"/>
        <v>531</v>
      </c>
      <c r="K84">
        <f t="shared" si="13"/>
        <v>0</v>
      </c>
      <c r="L84">
        <f t="shared" si="14"/>
        <v>137</v>
      </c>
    </row>
    <row r="85" spans="2:12" x14ac:dyDescent="0.25">
      <c r="B85">
        <v>2</v>
      </c>
      <c r="C85">
        <v>75</v>
      </c>
      <c r="D85" s="12">
        <f t="shared" si="15"/>
        <v>5</v>
      </c>
      <c r="E85" s="11">
        <v>1</v>
      </c>
      <c r="F85" s="11">
        <v>0</v>
      </c>
      <c r="G85" s="11">
        <v>125</v>
      </c>
      <c r="H85" s="13">
        <v>0</v>
      </c>
      <c r="I85" s="11">
        <f t="shared" si="12"/>
        <v>531</v>
      </c>
      <c r="J85">
        <f t="shared" si="11"/>
        <v>656</v>
      </c>
      <c r="K85">
        <f t="shared" si="13"/>
        <v>0</v>
      </c>
      <c r="L85" t="str">
        <f t="shared" si="14"/>
        <v/>
      </c>
    </row>
    <row r="86" spans="2:12" x14ac:dyDescent="0.25">
      <c r="B86">
        <v>2</v>
      </c>
      <c r="C86">
        <v>76</v>
      </c>
      <c r="D86" s="12">
        <f t="shared" si="15"/>
        <v>6</v>
      </c>
      <c r="E86" s="11">
        <v>0</v>
      </c>
      <c r="F86" s="11">
        <v>0</v>
      </c>
      <c r="G86" s="11">
        <v>0</v>
      </c>
      <c r="H86" s="13">
        <v>0</v>
      </c>
      <c r="I86" s="11">
        <f t="shared" si="12"/>
        <v>656</v>
      </c>
      <c r="J86">
        <f t="shared" si="11"/>
        <v>656</v>
      </c>
      <c r="K86">
        <f t="shared" si="13"/>
        <v>0</v>
      </c>
      <c r="L86" t="str">
        <f t="shared" si="14"/>
        <v/>
      </c>
    </row>
    <row r="87" spans="2:12" x14ac:dyDescent="0.25">
      <c r="B87">
        <v>2</v>
      </c>
      <c r="C87">
        <v>77</v>
      </c>
      <c r="D87" s="16">
        <f t="shared" si="15"/>
        <v>7</v>
      </c>
      <c r="E87" s="14">
        <v>0</v>
      </c>
      <c r="F87" s="14">
        <v>0</v>
      </c>
      <c r="G87" s="14">
        <v>0</v>
      </c>
      <c r="H87" s="15">
        <v>0</v>
      </c>
      <c r="I87" s="11">
        <f t="shared" si="12"/>
        <v>656</v>
      </c>
      <c r="J87">
        <f t="shared" si="11"/>
        <v>656</v>
      </c>
      <c r="K87">
        <f t="shared" si="13"/>
        <v>0</v>
      </c>
      <c r="L87" t="str">
        <f t="shared" si="14"/>
        <v/>
      </c>
    </row>
    <row r="88" spans="2:12" x14ac:dyDescent="0.25">
      <c r="B88">
        <v>2</v>
      </c>
      <c r="C88">
        <v>78</v>
      </c>
      <c r="D88" s="8">
        <f t="shared" si="15"/>
        <v>1</v>
      </c>
      <c r="E88" s="9">
        <v>1</v>
      </c>
      <c r="F88" s="9">
        <v>1</v>
      </c>
      <c r="G88" s="9">
        <v>146</v>
      </c>
      <c r="H88" s="10">
        <v>152</v>
      </c>
      <c r="I88" s="11">
        <f t="shared" si="12"/>
        <v>656</v>
      </c>
      <c r="J88">
        <f t="shared" si="11"/>
        <v>650</v>
      </c>
      <c r="K88">
        <f t="shared" si="13"/>
        <v>0</v>
      </c>
      <c r="L88">
        <f t="shared" si="14"/>
        <v>152</v>
      </c>
    </row>
    <row r="89" spans="2:12" x14ac:dyDescent="0.25">
      <c r="B89">
        <v>2</v>
      </c>
      <c r="C89">
        <v>79</v>
      </c>
      <c r="D89" s="12">
        <f t="shared" si="15"/>
        <v>2</v>
      </c>
      <c r="E89" s="11">
        <v>1</v>
      </c>
      <c r="F89" s="11">
        <v>1</v>
      </c>
      <c r="G89" s="11">
        <v>170</v>
      </c>
      <c r="H89" s="13">
        <v>147</v>
      </c>
      <c r="I89" s="11">
        <f t="shared" si="12"/>
        <v>650</v>
      </c>
      <c r="J89">
        <f t="shared" si="11"/>
        <v>673</v>
      </c>
      <c r="K89">
        <f t="shared" si="13"/>
        <v>0</v>
      </c>
      <c r="L89">
        <f t="shared" si="14"/>
        <v>147</v>
      </c>
    </row>
    <row r="90" spans="2:12" x14ac:dyDescent="0.25">
      <c r="B90">
        <v>2</v>
      </c>
      <c r="C90">
        <v>80</v>
      </c>
      <c r="D90" s="12">
        <f t="shared" si="15"/>
        <v>3</v>
      </c>
      <c r="E90" s="11">
        <v>1</v>
      </c>
      <c r="F90" s="11">
        <v>1</v>
      </c>
      <c r="G90" s="11">
        <v>155</v>
      </c>
      <c r="H90" s="13">
        <v>147</v>
      </c>
      <c r="I90" s="11">
        <f t="shared" si="12"/>
        <v>673</v>
      </c>
      <c r="J90">
        <f t="shared" si="11"/>
        <v>681</v>
      </c>
      <c r="K90">
        <f t="shared" si="13"/>
        <v>0</v>
      </c>
      <c r="L90">
        <f t="shared" si="14"/>
        <v>147</v>
      </c>
    </row>
    <row r="91" spans="2:12" x14ac:dyDescent="0.25">
      <c r="B91">
        <v>2</v>
      </c>
      <c r="C91">
        <v>81</v>
      </c>
      <c r="D91" s="12">
        <f t="shared" si="15"/>
        <v>4</v>
      </c>
      <c r="E91" s="11">
        <v>1</v>
      </c>
      <c r="F91" s="11">
        <v>1</v>
      </c>
      <c r="G91" s="11">
        <v>144</v>
      </c>
      <c r="H91" s="13">
        <v>145</v>
      </c>
      <c r="I91" s="11">
        <f t="shared" si="12"/>
        <v>681</v>
      </c>
      <c r="J91">
        <f t="shared" si="11"/>
        <v>680</v>
      </c>
      <c r="K91">
        <f t="shared" si="13"/>
        <v>0</v>
      </c>
      <c r="L91">
        <f t="shared" si="14"/>
        <v>145</v>
      </c>
    </row>
    <row r="92" spans="2:12" x14ac:dyDescent="0.25">
      <c r="B92">
        <v>2</v>
      </c>
      <c r="C92">
        <v>82</v>
      </c>
      <c r="D92" s="12">
        <f t="shared" si="15"/>
        <v>5</v>
      </c>
      <c r="E92" s="11">
        <v>1</v>
      </c>
      <c r="F92" s="11">
        <v>0</v>
      </c>
      <c r="G92" s="11">
        <v>158</v>
      </c>
      <c r="H92" s="13">
        <v>0</v>
      </c>
      <c r="I92" s="11">
        <f t="shared" si="12"/>
        <v>680</v>
      </c>
      <c r="J92">
        <f t="shared" si="11"/>
        <v>838</v>
      </c>
      <c r="K92">
        <f t="shared" si="13"/>
        <v>0</v>
      </c>
      <c r="L92" t="str">
        <f t="shared" si="14"/>
        <v/>
      </c>
    </row>
    <row r="93" spans="2:12" x14ac:dyDescent="0.25">
      <c r="B93">
        <v>2</v>
      </c>
      <c r="C93">
        <v>83</v>
      </c>
      <c r="D93" s="12">
        <f t="shared" si="15"/>
        <v>6</v>
      </c>
      <c r="E93" s="11">
        <v>0</v>
      </c>
      <c r="F93" s="11">
        <v>0</v>
      </c>
      <c r="G93" s="11">
        <v>0</v>
      </c>
      <c r="H93" s="13">
        <v>0</v>
      </c>
      <c r="I93" s="11">
        <f t="shared" si="12"/>
        <v>838</v>
      </c>
      <c r="J93">
        <f t="shared" si="11"/>
        <v>838</v>
      </c>
      <c r="K93">
        <f t="shared" si="13"/>
        <v>0</v>
      </c>
      <c r="L93" t="str">
        <f t="shared" si="14"/>
        <v/>
      </c>
    </row>
    <row r="94" spans="2:12" x14ac:dyDescent="0.25">
      <c r="B94">
        <v>2</v>
      </c>
      <c r="C94">
        <v>84</v>
      </c>
      <c r="D94" s="16">
        <f t="shared" si="15"/>
        <v>7</v>
      </c>
      <c r="E94" s="14">
        <v>0</v>
      </c>
      <c r="F94" s="14">
        <v>0</v>
      </c>
      <c r="G94" s="14">
        <v>0</v>
      </c>
      <c r="H94" s="15">
        <v>0</v>
      </c>
      <c r="I94" s="11">
        <f t="shared" si="12"/>
        <v>838</v>
      </c>
      <c r="J94">
        <f t="shared" si="11"/>
        <v>838</v>
      </c>
      <c r="K94">
        <f t="shared" si="13"/>
        <v>0</v>
      </c>
      <c r="L94" t="str">
        <f t="shared" si="14"/>
        <v/>
      </c>
    </row>
    <row r="95" spans="2:12" x14ac:dyDescent="0.25">
      <c r="B95">
        <v>3</v>
      </c>
      <c r="C95">
        <v>85</v>
      </c>
      <c r="D95" s="8">
        <f t="shared" si="15"/>
        <v>1</v>
      </c>
      <c r="E95" s="9">
        <v>1</v>
      </c>
      <c r="F95" s="9">
        <v>1</v>
      </c>
      <c r="G95" s="9">
        <v>135</v>
      </c>
      <c r="H95" s="10">
        <v>132</v>
      </c>
      <c r="I95" s="11">
        <f t="shared" si="12"/>
        <v>838</v>
      </c>
      <c r="J95">
        <f t="shared" si="11"/>
        <v>841</v>
      </c>
      <c r="K95">
        <f t="shared" si="13"/>
        <v>0</v>
      </c>
      <c r="L95">
        <f t="shared" si="14"/>
        <v>132</v>
      </c>
    </row>
    <row r="96" spans="2:12" x14ac:dyDescent="0.25">
      <c r="B96">
        <v>3</v>
      </c>
      <c r="C96">
        <v>86</v>
      </c>
      <c r="D96" s="12">
        <f t="shared" si="15"/>
        <v>2</v>
      </c>
      <c r="E96" s="11">
        <v>1</v>
      </c>
      <c r="F96" s="11">
        <v>1</v>
      </c>
      <c r="G96" s="11">
        <v>142</v>
      </c>
      <c r="H96" s="13">
        <v>139</v>
      </c>
      <c r="I96" s="11">
        <f t="shared" si="12"/>
        <v>841</v>
      </c>
      <c r="J96">
        <f t="shared" si="11"/>
        <v>844</v>
      </c>
      <c r="K96">
        <f t="shared" si="13"/>
        <v>0</v>
      </c>
      <c r="L96">
        <f t="shared" si="14"/>
        <v>139</v>
      </c>
    </row>
    <row r="97" spans="2:12" x14ac:dyDescent="0.25">
      <c r="B97">
        <v>3</v>
      </c>
      <c r="C97">
        <v>87</v>
      </c>
      <c r="D97" s="12">
        <f t="shared" si="15"/>
        <v>3</v>
      </c>
      <c r="E97" s="11">
        <v>1</v>
      </c>
      <c r="F97" s="11">
        <v>1</v>
      </c>
      <c r="G97" s="11">
        <v>124</v>
      </c>
      <c r="H97" s="13">
        <v>157</v>
      </c>
      <c r="I97" s="11">
        <f t="shared" si="12"/>
        <v>844</v>
      </c>
      <c r="J97">
        <f t="shared" si="11"/>
        <v>811</v>
      </c>
      <c r="K97">
        <f t="shared" si="13"/>
        <v>0</v>
      </c>
      <c r="L97">
        <f t="shared" si="14"/>
        <v>157</v>
      </c>
    </row>
    <row r="98" spans="2:12" x14ac:dyDescent="0.25">
      <c r="B98">
        <v>3</v>
      </c>
      <c r="C98">
        <v>88</v>
      </c>
      <c r="D98" s="12">
        <f t="shared" si="15"/>
        <v>4</v>
      </c>
      <c r="E98" s="11">
        <v>1</v>
      </c>
      <c r="F98" s="11">
        <v>1</v>
      </c>
      <c r="G98" s="11">
        <v>134</v>
      </c>
      <c r="H98" s="13">
        <v>140</v>
      </c>
      <c r="I98" s="11">
        <f t="shared" si="12"/>
        <v>811</v>
      </c>
      <c r="J98">
        <f t="shared" si="11"/>
        <v>805</v>
      </c>
      <c r="K98">
        <f t="shared" si="13"/>
        <v>0</v>
      </c>
      <c r="L98">
        <f t="shared" si="14"/>
        <v>140</v>
      </c>
    </row>
    <row r="99" spans="2:12" x14ac:dyDescent="0.25">
      <c r="B99">
        <v>3</v>
      </c>
      <c r="C99">
        <v>89</v>
      </c>
      <c r="D99" s="12">
        <f t="shared" si="15"/>
        <v>5</v>
      </c>
      <c r="E99" s="11">
        <v>1</v>
      </c>
      <c r="F99" s="11">
        <v>1</v>
      </c>
      <c r="G99" s="11">
        <v>174</v>
      </c>
      <c r="H99" s="13">
        <v>150</v>
      </c>
      <c r="I99" s="11">
        <f t="shared" si="12"/>
        <v>805</v>
      </c>
      <c r="J99">
        <f t="shared" si="11"/>
        <v>829</v>
      </c>
      <c r="K99">
        <f t="shared" si="13"/>
        <v>0</v>
      </c>
      <c r="L99">
        <f t="shared" si="14"/>
        <v>150</v>
      </c>
    </row>
    <row r="100" spans="2:12" x14ac:dyDescent="0.25">
      <c r="B100">
        <v>3</v>
      </c>
      <c r="C100">
        <v>90</v>
      </c>
      <c r="D100" s="12">
        <f t="shared" si="15"/>
        <v>6</v>
      </c>
      <c r="E100" s="11">
        <v>0</v>
      </c>
      <c r="F100" s="11">
        <v>0</v>
      </c>
      <c r="G100" s="11">
        <v>0</v>
      </c>
      <c r="H100" s="13">
        <v>0</v>
      </c>
      <c r="I100" s="11">
        <f t="shared" si="12"/>
        <v>829</v>
      </c>
      <c r="J100">
        <f t="shared" si="11"/>
        <v>829</v>
      </c>
      <c r="K100">
        <f t="shared" si="13"/>
        <v>0</v>
      </c>
      <c r="L100" t="str">
        <f t="shared" si="14"/>
        <v/>
      </c>
    </row>
    <row r="101" spans="2:12" x14ac:dyDescent="0.25">
      <c r="B101">
        <v>3</v>
      </c>
      <c r="C101">
        <v>91</v>
      </c>
      <c r="D101" s="16">
        <f t="shared" si="15"/>
        <v>7</v>
      </c>
      <c r="E101" s="14">
        <v>0</v>
      </c>
      <c r="F101" s="14">
        <v>0</v>
      </c>
      <c r="G101" s="14">
        <v>0</v>
      </c>
      <c r="H101" s="15">
        <v>0</v>
      </c>
      <c r="I101" s="11">
        <f t="shared" si="12"/>
        <v>829</v>
      </c>
      <c r="J101">
        <f t="shared" si="11"/>
        <v>829</v>
      </c>
      <c r="K101">
        <f t="shared" si="13"/>
        <v>0</v>
      </c>
      <c r="L101" t="str">
        <f t="shared" si="14"/>
        <v/>
      </c>
    </row>
    <row r="102" spans="2:12" x14ac:dyDescent="0.25">
      <c r="B102">
        <v>3</v>
      </c>
      <c r="C102">
        <v>92</v>
      </c>
      <c r="D102" s="8">
        <f t="shared" si="15"/>
        <v>1</v>
      </c>
      <c r="E102" s="9">
        <v>1</v>
      </c>
      <c r="F102" s="9">
        <v>1</v>
      </c>
      <c r="G102" s="9">
        <v>142</v>
      </c>
      <c r="H102" s="10">
        <v>131</v>
      </c>
      <c r="I102" s="11">
        <f t="shared" si="12"/>
        <v>829</v>
      </c>
      <c r="J102">
        <f t="shared" si="11"/>
        <v>840</v>
      </c>
      <c r="K102">
        <f t="shared" si="13"/>
        <v>0</v>
      </c>
      <c r="L102">
        <f t="shared" si="14"/>
        <v>131</v>
      </c>
    </row>
    <row r="103" spans="2:12" x14ac:dyDescent="0.25">
      <c r="B103">
        <v>3</v>
      </c>
      <c r="C103">
        <v>93</v>
      </c>
      <c r="D103" s="12">
        <f t="shared" si="15"/>
        <v>2</v>
      </c>
      <c r="E103" s="11">
        <v>1</v>
      </c>
      <c r="F103" s="11">
        <v>1</v>
      </c>
      <c r="G103" s="11">
        <v>147</v>
      </c>
      <c r="H103" s="13">
        <v>158</v>
      </c>
      <c r="I103" s="11">
        <f t="shared" si="12"/>
        <v>840</v>
      </c>
      <c r="J103">
        <f t="shared" si="11"/>
        <v>829</v>
      </c>
      <c r="K103">
        <f t="shared" si="13"/>
        <v>0</v>
      </c>
      <c r="L103">
        <f t="shared" si="14"/>
        <v>158</v>
      </c>
    </row>
    <row r="104" spans="2:12" x14ac:dyDescent="0.25">
      <c r="B104">
        <v>3</v>
      </c>
      <c r="C104">
        <v>94</v>
      </c>
      <c r="D104" s="12">
        <f t="shared" si="15"/>
        <v>3</v>
      </c>
      <c r="E104" s="11">
        <v>1</v>
      </c>
      <c r="F104" s="11">
        <v>1</v>
      </c>
      <c r="G104" s="11">
        <v>176</v>
      </c>
      <c r="H104" s="13">
        <v>147</v>
      </c>
      <c r="I104" s="11">
        <f t="shared" si="12"/>
        <v>829</v>
      </c>
      <c r="J104">
        <f t="shared" si="11"/>
        <v>858</v>
      </c>
      <c r="K104">
        <f t="shared" si="13"/>
        <v>0</v>
      </c>
      <c r="L104">
        <f t="shared" si="14"/>
        <v>147</v>
      </c>
    </row>
    <row r="105" spans="2:12" x14ac:dyDescent="0.25">
      <c r="B105">
        <v>3</v>
      </c>
      <c r="C105">
        <v>95</v>
      </c>
      <c r="D105" s="12">
        <f t="shared" si="15"/>
        <v>4</v>
      </c>
      <c r="E105" s="11">
        <v>1</v>
      </c>
      <c r="F105" s="11">
        <v>1</v>
      </c>
      <c r="G105" s="11">
        <v>127</v>
      </c>
      <c r="H105" s="13">
        <v>142</v>
      </c>
      <c r="I105" s="11">
        <f t="shared" si="12"/>
        <v>858</v>
      </c>
      <c r="J105">
        <f t="shared" si="11"/>
        <v>843</v>
      </c>
      <c r="K105">
        <f t="shared" si="13"/>
        <v>0</v>
      </c>
      <c r="L105">
        <f t="shared" si="14"/>
        <v>142</v>
      </c>
    </row>
    <row r="106" spans="2:12" x14ac:dyDescent="0.25">
      <c r="B106">
        <v>3</v>
      </c>
      <c r="C106">
        <v>96</v>
      </c>
      <c r="D106" s="12">
        <f t="shared" si="15"/>
        <v>5</v>
      </c>
      <c r="E106" s="11">
        <v>1</v>
      </c>
      <c r="F106" s="11">
        <v>1</v>
      </c>
      <c r="G106" s="11">
        <v>138</v>
      </c>
      <c r="H106" s="13">
        <v>149</v>
      </c>
      <c r="I106" s="11">
        <f t="shared" si="12"/>
        <v>843</v>
      </c>
      <c r="J106">
        <f t="shared" si="11"/>
        <v>832</v>
      </c>
      <c r="K106">
        <f t="shared" si="13"/>
        <v>0</v>
      </c>
      <c r="L106">
        <f t="shared" si="14"/>
        <v>149</v>
      </c>
    </row>
    <row r="107" spans="2:12" x14ac:dyDescent="0.25">
      <c r="B107">
        <v>3</v>
      </c>
      <c r="C107">
        <v>97</v>
      </c>
      <c r="D107" s="12">
        <f t="shared" si="15"/>
        <v>6</v>
      </c>
      <c r="E107" s="11">
        <v>0</v>
      </c>
      <c r="F107" s="11">
        <v>0</v>
      </c>
      <c r="G107" s="11">
        <v>0</v>
      </c>
      <c r="H107" s="13">
        <v>0</v>
      </c>
      <c r="I107" s="11">
        <f t="shared" si="12"/>
        <v>832</v>
      </c>
      <c r="J107">
        <f t="shared" si="11"/>
        <v>832</v>
      </c>
      <c r="K107">
        <f t="shared" si="13"/>
        <v>0</v>
      </c>
      <c r="L107" t="str">
        <f t="shared" si="14"/>
        <v/>
      </c>
    </row>
    <row r="108" spans="2:12" x14ac:dyDescent="0.25">
      <c r="B108">
        <v>3</v>
      </c>
      <c r="C108">
        <v>98</v>
      </c>
      <c r="D108" s="16">
        <f t="shared" si="15"/>
        <v>7</v>
      </c>
      <c r="E108" s="14">
        <v>0</v>
      </c>
      <c r="F108" s="14">
        <v>0</v>
      </c>
      <c r="G108" s="14">
        <v>0</v>
      </c>
      <c r="H108" s="15">
        <v>0</v>
      </c>
      <c r="I108" s="11">
        <f t="shared" si="12"/>
        <v>832</v>
      </c>
      <c r="J108">
        <f t="shared" si="11"/>
        <v>832</v>
      </c>
      <c r="K108">
        <f t="shared" si="13"/>
        <v>0</v>
      </c>
      <c r="L108" t="str">
        <f t="shared" si="14"/>
        <v/>
      </c>
    </row>
    <row r="109" spans="2:12" x14ac:dyDescent="0.25">
      <c r="B109">
        <v>3</v>
      </c>
      <c r="C109">
        <v>99</v>
      </c>
      <c r="D109" s="8">
        <f t="shared" si="15"/>
        <v>1</v>
      </c>
      <c r="E109" s="9">
        <v>1</v>
      </c>
      <c r="F109" s="9">
        <v>1</v>
      </c>
      <c r="G109" s="9">
        <v>189</v>
      </c>
      <c r="H109" s="10">
        <v>146</v>
      </c>
      <c r="I109" s="11">
        <f t="shared" si="12"/>
        <v>832</v>
      </c>
      <c r="J109">
        <f t="shared" si="11"/>
        <v>875</v>
      </c>
      <c r="K109">
        <f t="shared" si="13"/>
        <v>0</v>
      </c>
      <c r="L109">
        <f t="shared" si="14"/>
        <v>146</v>
      </c>
    </row>
    <row r="110" spans="2:12" x14ac:dyDescent="0.25">
      <c r="B110">
        <v>3</v>
      </c>
      <c r="C110">
        <v>100</v>
      </c>
      <c r="D110" s="12">
        <f t="shared" si="15"/>
        <v>2</v>
      </c>
      <c r="E110" s="11">
        <v>1</v>
      </c>
      <c r="F110" s="11">
        <v>1</v>
      </c>
      <c r="G110" s="11">
        <v>166</v>
      </c>
      <c r="H110" s="13">
        <v>157</v>
      </c>
      <c r="I110" s="11">
        <f t="shared" si="12"/>
        <v>875</v>
      </c>
      <c r="J110">
        <f t="shared" si="11"/>
        <v>884</v>
      </c>
      <c r="K110">
        <f t="shared" si="13"/>
        <v>0</v>
      </c>
      <c r="L110">
        <f t="shared" si="14"/>
        <v>157</v>
      </c>
    </row>
    <row r="111" spans="2:12" x14ac:dyDescent="0.25">
      <c r="B111">
        <v>3</v>
      </c>
      <c r="C111">
        <v>101</v>
      </c>
      <c r="D111" s="12">
        <f t="shared" si="15"/>
        <v>3</v>
      </c>
      <c r="E111" s="11">
        <v>1</v>
      </c>
      <c r="F111" s="11">
        <v>1</v>
      </c>
      <c r="G111" s="11">
        <v>137</v>
      </c>
      <c r="H111" s="13">
        <v>159</v>
      </c>
      <c r="I111" s="11">
        <f t="shared" si="12"/>
        <v>884</v>
      </c>
      <c r="J111">
        <f t="shared" si="11"/>
        <v>862</v>
      </c>
      <c r="K111">
        <f t="shared" si="13"/>
        <v>0</v>
      </c>
      <c r="L111">
        <f t="shared" si="14"/>
        <v>159</v>
      </c>
    </row>
    <row r="112" spans="2:12" x14ac:dyDescent="0.25">
      <c r="B112">
        <v>3</v>
      </c>
      <c r="C112">
        <v>102</v>
      </c>
      <c r="D112" s="12">
        <f t="shared" si="15"/>
        <v>4</v>
      </c>
      <c r="E112" s="11">
        <v>1</v>
      </c>
      <c r="F112" s="11">
        <v>1</v>
      </c>
      <c r="G112" s="11">
        <v>196</v>
      </c>
      <c r="H112" s="13">
        <v>130</v>
      </c>
      <c r="I112" s="11">
        <f t="shared" si="12"/>
        <v>862</v>
      </c>
      <c r="J112">
        <f t="shared" si="11"/>
        <v>928</v>
      </c>
      <c r="K112">
        <f t="shared" si="13"/>
        <v>0</v>
      </c>
      <c r="L112">
        <f t="shared" si="14"/>
        <v>130</v>
      </c>
    </row>
    <row r="113" spans="2:12" x14ac:dyDescent="0.25">
      <c r="B113">
        <v>3</v>
      </c>
      <c r="C113">
        <v>103</v>
      </c>
      <c r="D113" s="12">
        <f t="shared" si="15"/>
        <v>5</v>
      </c>
      <c r="E113" s="11">
        <v>1</v>
      </c>
      <c r="F113" s="11">
        <v>1</v>
      </c>
      <c r="G113" s="11">
        <v>128</v>
      </c>
      <c r="H113" s="13">
        <v>132</v>
      </c>
      <c r="I113" s="11">
        <f t="shared" si="12"/>
        <v>928</v>
      </c>
      <c r="J113">
        <f t="shared" si="11"/>
        <v>924</v>
      </c>
      <c r="K113">
        <f t="shared" si="13"/>
        <v>0</v>
      </c>
      <c r="L113">
        <f t="shared" si="14"/>
        <v>132</v>
      </c>
    </row>
    <row r="114" spans="2:12" x14ac:dyDescent="0.25">
      <c r="B114">
        <v>3</v>
      </c>
      <c r="C114">
        <v>104</v>
      </c>
      <c r="D114" s="12">
        <f t="shared" si="15"/>
        <v>6</v>
      </c>
      <c r="E114" s="11">
        <v>0</v>
      </c>
      <c r="F114" s="11">
        <v>0</v>
      </c>
      <c r="G114" s="11">
        <v>0</v>
      </c>
      <c r="H114" s="13">
        <v>0</v>
      </c>
      <c r="I114" s="11">
        <f t="shared" si="12"/>
        <v>924</v>
      </c>
      <c r="J114">
        <f t="shared" si="11"/>
        <v>924</v>
      </c>
      <c r="K114">
        <f t="shared" si="13"/>
        <v>0</v>
      </c>
      <c r="L114" t="str">
        <f t="shared" si="14"/>
        <v/>
      </c>
    </row>
    <row r="115" spans="2:12" x14ac:dyDescent="0.25">
      <c r="B115">
        <v>3</v>
      </c>
      <c r="C115">
        <v>105</v>
      </c>
      <c r="D115" s="16">
        <f t="shared" si="15"/>
        <v>7</v>
      </c>
      <c r="E115" s="14">
        <v>0</v>
      </c>
      <c r="F115" s="14">
        <v>0</v>
      </c>
      <c r="G115" s="14">
        <v>0</v>
      </c>
      <c r="H115" s="15">
        <v>0</v>
      </c>
      <c r="I115" s="11">
        <f t="shared" si="12"/>
        <v>924</v>
      </c>
      <c r="J115">
        <f t="shared" si="11"/>
        <v>924</v>
      </c>
      <c r="K115">
        <f t="shared" si="13"/>
        <v>0</v>
      </c>
      <c r="L115" t="str">
        <f t="shared" si="14"/>
        <v/>
      </c>
    </row>
    <row r="116" spans="2:12" x14ac:dyDescent="0.25">
      <c r="B116">
        <v>3</v>
      </c>
      <c r="C116">
        <v>106</v>
      </c>
      <c r="D116" s="8">
        <f t="shared" si="15"/>
        <v>1</v>
      </c>
      <c r="E116" s="9">
        <v>1</v>
      </c>
      <c r="F116" s="9">
        <v>1</v>
      </c>
      <c r="G116" s="9">
        <v>17</v>
      </c>
      <c r="H116" s="10">
        <v>140</v>
      </c>
      <c r="I116" s="11">
        <f t="shared" si="12"/>
        <v>924</v>
      </c>
      <c r="J116">
        <f t="shared" si="11"/>
        <v>801</v>
      </c>
      <c r="K116">
        <f t="shared" si="13"/>
        <v>0</v>
      </c>
      <c r="L116">
        <f t="shared" si="14"/>
        <v>140</v>
      </c>
    </row>
    <row r="117" spans="2:12" x14ac:dyDescent="0.25">
      <c r="B117">
        <v>3</v>
      </c>
      <c r="C117">
        <v>107</v>
      </c>
      <c r="D117" s="12">
        <f t="shared" si="15"/>
        <v>2</v>
      </c>
      <c r="E117" s="11">
        <v>1</v>
      </c>
      <c r="F117" s="11">
        <v>1</v>
      </c>
      <c r="G117" s="11">
        <v>174</v>
      </c>
      <c r="H117" s="13">
        <v>146</v>
      </c>
      <c r="I117" s="11">
        <f t="shared" si="12"/>
        <v>801</v>
      </c>
      <c r="J117">
        <f t="shared" si="11"/>
        <v>829</v>
      </c>
      <c r="K117">
        <f t="shared" si="13"/>
        <v>0</v>
      </c>
      <c r="L117">
        <f t="shared" si="14"/>
        <v>146</v>
      </c>
    </row>
    <row r="118" spans="2:12" x14ac:dyDescent="0.25">
      <c r="B118">
        <v>3</v>
      </c>
      <c r="C118">
        <v>108</v>
      </c>
      <c r="D118" s="12">
        <f t="shared" si="15"/>
        <v>3</v>
      </c>
      <c r="E118" s="11">
        <v>1</v>
      </c>
      <c r="F118" s="11">
        <v>1</v>
      </c>
      <c r="G118" s="11">
        <v>187</v>
      </c>
      <c r="H118" s="13">
        <v>159</v>
      </c>
      <c r="I118" s="11">
        <f t="shared" si="12"/>
        <v>829</v>
      </c>
      <c r="J118">
        <f t="shared" si="11"/>
        <v>857</v>
      </c>
      <c r="K118">
        <f t="shared" si="13"/>
        <v>0</v>
      </c>
      <c r="L118">
        <f t="shared" si="14"/>
        <v>159</v>
      </c>
    </row>
    <row r="119" spans="2:12" x14ac:dyDescent="0.25">
      <c r="B119">
        <v>3</v>
      </c>
      <c r="C119">
        <v>109</v>
      </c>
      <c r="D119" s="12">
        <f t="shared" si="15"/>
        <v>4</v>
      </c>
      <c r="E119" s="11">
        <v>1</v>
      </c>
      <c r="F119" s="11">
        <v>1</v>
      </c>
      <c r="G119" s="11">
        <v>142</v>
      </c>
      <c r="H119" s="13">
        <v>152</v>
      </c>
      <c r="I119" s="11">
        <f t="shared" si="12"/>
        <v>857</v>
      </c>
      <c r="J119">
        <f t="shared" si="11"/>
        <v>847</v>
      </c>
      <c r="K119">
        <f t="shared" si="13"/>
        <v>0</v>
      </c>
      <c r="L119">
        <f t="shared" si="14"/>
        <v>152</v>
      </c>
    </row>
    <row r="120" spans="2:12" x14ac:dyDescent="0.25">
      <c r="B120">
        <v>3</v>
      </c>
      <c r="C120">
        <v>110</v>
      </c>
      <c r="D120" s="12">
        <f t="shared" si="15"/>
        <v>5</v>
      </c>
      <c r="E120" s="11">
        <v>1</v>
      </c>
      <c r="F120" s="11">
        <v>1</v>
      </c>
      <c r="G120" s="11">
        <v>121</v>
      </c>
      <c r="H120" s="13">
        <v>130</v>
      </c>
      <c r="I120" s="11">
        <f t="shared" si="12"/>
        <v>847</v>
      </c>
      <c r="J120">
        <f t="shared" si="11"/>
        <v>838</v>
      </c>
      <c r="K120">
        <f t="shared" si="13"/>
        <v>0</v>
      </c>
      <c r="L120">
        <f t="shared" si="14"/>
        <v>130</v>
      </c>
    </row>
    <row r="121" spans="2:12" x14ac:dyDescent="0.25">
      <c r="B121">
        <v>3</v>
      </c>
      <c r="C121">
        <v>111</v>
      </c>
      <c r="D121" s="12">
        <f t="shared" si="15"/>
        <v>6</v>
      </c>
      <c r="E121" s="11">
        <v>0</v>
      </c>
      <c r="F121" s="11">
        <v>0</v>
      </c>
      <c r="G121" s="11">
        <v>0</v>
      </c>
      <c r="H121" s="13">
        <v>0</v>
      </c>
      <c r="I121" s="11">
        <f t="shared" si="12"/>
        <v>838</v>
      </c>
      <c r="J121">
        <f t="shared" si="11"/>
        <v>838</v>
      </c>
      <c r="K121">
        <f t="shared" si="13"/>
        <v>0</v>
      </c>
      <c r="L121" t="str">
        <f t="shared" si="14"/>
        <v/>
      </c>
    </row>
    <row r="122" spans="2:12" x14ac:dyDescent="0.25">
      <c r="B122">
        <v>3</v>
      </c>
      <c r="C122">
        <v>112</v>
      </c>
      <c r="D122" s="16">
        <f t="shared" si="15"/>
        <v>7</v>
      </c>
      <c r="E122" s="14">
        <v>0</v>
      </c>
      <c r="F122" s="14">
        <v>0</v>
      </c>
      <c r="G122" s="14">
        <v>0</v>
      </c>
      <c r="H122" s="15">
        <v>0</v>
      </c>
      <c r="I122" s="11">
        <f t="shared" si="12"/>
        <v>838</v>
      </c>
      <c r="J122">
        <f t="shared" si="11"/>
        <v>838</v>
      </c>
      <c r="K122">
        <f t="shared" si="13"/>
        <v>0</v>
      </c>
      <c r="L122" t="str">
        <f t="shared" si="14"/>
        <v/>
      </c>
    </row>
    <row r="123" spans="2:12" x14ac:dyDescent="0.25">
      <c r="B123">
        <v>3</v>
      </c>
      <c r="C123">
        <v>113</v>
      </c>
      <c r="D123" s="8">
        <f t="shared" si="15"/>
        <v>1</v>
      </c>
      <c r="E123" s="9">
        <v>1</v>
      </c>
      <c r="F123" s="9">
        <v>1</v>
      </c>
      <c r="G123" s="9">
        <v>130</v>
      </c>
      <c r="H123" s="10">
        <v>136</v>
      </c>
      <c r="I123" s="11">
        <f t="shared" si="12"/>
        <v>838</v>
      </c>
      <c r="J123">
        <f t="shared" si="11"/>
        <v>832</v>
      </c>
      <c r="K123">
        <f t="shared" si="13"/>
        <v>0</v>
      </c>
      <c r="L123">
        <f t="shared" si="14"/>
        <v>136</v>
      </c>
    </row>
    <row r="124" spans="2:12" x14ac:dyDescent="0.25">
      <c r="B124">
        <v>3</v>
      </c>
      <c r="C124">
        <v>114</v>
      </c>
      <c r="D124" s="12">
        <f t="shared" si="15"/>
        <v>2</v>
      </c>
      <c r="E124" s="11">
        <v>1</v>
      </c>
      <c r="F124" s="11">
        <v>1</v>
      </c>
      <c r="G124" s="11">
        <v>184</v>
      </c>
      <c r="H124" s="13">
        <v>153</v>
      </c>
      <c r="I124" s="11">
        <f t="shared" si="12"/>
        <v>832</v>
      </c>
      <c r="J124">
        <f t="shared" si="11"/>
        <v>863</v>
      </c>
      <c r="K124">
        <f t="shared" si="13"/>
        <v>0</v>
      </c>
      <c r="L124">
        <f t="shared" si="14"/>
        <v>153</v>
      </c>
    </row>
    <row r="125" spans="2:12" x14ac:dyDescent="0.25">
      <c r="B125">
        <v>3</v>
      </c>
      <c r="C125">
        <v>115</v>
      </c>
      <c r="D125" s="12">
        <f t="shared" si="15"/>
        <v>3</v>
      </c>
      <c r="E125" s="11">
        <v>1</v>
      </c>
      <c r="F125" s="11">
        <v>1</v>
      </c>
      <c r="G125" s="11">
        <v>179</v>
      </c>
      <c r="H125" s="13">
        <v>150</v>
      </c>
      <c r="I125" s="11">
        <f t="shared" si="12"/>
        <v>863</v>
      </c>
      <c r="J125">
        <f t="shared" si="11"/>
        <v>892</v>
      </c>
      <c r="K125">
        <f t="shared" si="13"/>
        <v>0</v>
      </c>
      <c r="L125">
        <f t="shared" si="14"/>
        <v>150</v>
      </c>
    </row>
    <row r="126" spans="2:12" x14ac:dyDescent="0.25">
      <c r="B126">
        <v>3</v>
      </c>
      <c r="C126">
        <v>116</v>
      </c>
      <c r="D126" s="12">
        <f t="shared" si="15"/>
        <v>4</v>
      </c>
      <c r="E126" s="11">
        <v>1</v>
      </c>
      <c r="F126" s="11">
        <v>1</v>
      </c>
      <c r="G126" s="11">
        <v>174</v>
      </c>
      <c r="H126" s="13">
        <v>137</v>
      </c>
      <c r="I126" s="11">
        <f t="shared" si="12"/>
        <v>892</v>
      </c>
      <c r="J126">
        <f t="shared" si="11"/>
        <v>929</v>
      </c>
      <c r="K126">
        <f t="shared" si="13"/>
        <v>0</v>
      </c>
      <c r="L126">
        <f t="shared" si="14"/>
        <v>137</v>
      </c>
    </row>
    <row r="127" spans="2:12" x14ac:dyDescent="0.25">
      <c r="B127">
        <v>3</v>
      </c>
      <c r="C127">
        <v>117</v>
      </c>
      <c r="D127" s="12">
        <f t="shared" si="15"/>
        <v>5</v>
      </c>
      <c r="E127" s="11">
        <v>1</v>
      </c>
      <c r="F127" s="11">
        <v>1</v>
      </c>
      <c r="G127" s="11">
        <v>138</v>
      </c>
      <c r="H127" s="13">
        <v>136</v>
      </c>
      <c r="I127" s="11">
        <f t="shared" si="12"/>
        <v>929</v>
      </c>
      <c r="J127">
        <f t="shared" si="11"/>
        <v>931</v>
      </c>
      <c r="K127">
        <f t="shared" si="13"/>
        <v>0</v>
      </c>
      <c r="L127">
        <f t="shared" si="14"/>
        <v>136</v>
      </c>
    </row>
    <row r="128" spans="2:12" x14ac:dyDescent="0.25">
      <c r="B128">
        <v>3</v>
      </c>
      <c r="C128">
        <v>118</v>
      </c>
      <c r="D128" s="12">
        <f t="shared" si="15"/>
        <v>6</v>
      </c>
      <c r="E128" s="11">
        <v>0</v>
      </c>
      <c r="F128" s="11">
        <v>0</v>
      </c>
      <c r="G128" s="11">
        <v>0</v>
      </c>
      <c r="H128" s="13">
        <v>0</v>
      </c>
      <c r="I128" s="11">
        <f t="shared" si="12"/>
        <v>931</v>
      </c>
      <c r="J128">
        <f t="shared" si="11"/>
        <v>931</v>
      </c>
      <c r="K128">
        <f t="shared" si="13"/>
        <v>0</v>
      </c>
      <c r="L128" t="str">
        <f t="shared" si="14"/>
        <v/>
      </c>
    </row>
    <row r="129" spans="2:12" x14ac:dyDescent="0.25">
      <c r="B129">
        <v>3</v>
      </c>
      <c r="C129">
        <v>119</v>
      </c>
      <c r="D129" s="16">
        <f t="shared" si="15"/>
        <v>7</v>
      </c>
      <c r="E129" s="14">
        <v>0</v>
      </c>
      <c r="F129" s="14">
        <v>0</v>
      </c>
      <c r="G129" s="14">
        <v>0</v>
      </c>
      <c r="H129" s="15">
        <v>0</v>
      </c>
      <c r="I129" s="11">
        <f t="shared" si="12"/>
        <v>931</v>
      </c>
      <c r="J129">
        <f t="shared" si="11"/>
        <v>931</v>
      </c>
      <c r="K129">
        <f t="shared" si="13"/>
        <v>0</v>
      </c>
      <c r="L129" t="str">
        <f t="shared" si="14"/>
        <v/>
      </c>
    </row>
    <row r="130" spans="2:12" x14ac:dyDescent="0.25">
      <c r="B130">
        <v>3</v>
      </c>
      <c r="C130">
        <v>120</v>
      </c>
      <c r="D130" s="8">
        <f t="shared" si="15"/>
        <v>1</v>
      </c>
      <c r="E130" s="9">
        <v>1</v>
      </c>
      <c r="F130" s="9">
        <v>1</v>
      </c>
      <c r="G130" s="9">
        <v>153</v>
      </c>
      <c r="H130" s="10">
        <v>140</v>
      </c>
      <c r="I130" s="11">
        <f t="shared" si="12"/>
        <v>931</v>
      </c>
      <c r="J130">
        <f t="shared" si="11"/>
        <v>944</v>
      </c>
      <c r="K130">
        <f t="shared" si="13"/>
        <v>0</v>
      </c>
      <c r="L130">
        <f t="shared" si="14"/>
        <v>140</v>
      </c>
    </row>
    <row r="131" spans="2:12" x14ac:dyDescent="0.25">
      <c r="B131">
        <v>3</v>
      </c>
      <c r="C131">
        <v>121</v>
      </c>
      <c r="D131" s="12">
        <f t="shared" si="15"/>
        <v>2</v>
      </c>
      <c r="E131" s="11">
        <v>1</v>
      </c>
      <c r="F131" s="11">
        <v>1</v>
      </c>
      <c r="G131" s="11">
        <v>140</v>
      </c>
      <c r="H131" s="13">
        <v>145</v>
      </c>
      <c r="I131" s="11">
        <f t="shared" si="12"/>
        <v>944</v>
      </c>
      <c r="J131">
        <f t="shared" si="11"/>
        <v>939</v>
      </c>
      <c r="K131">
        <f t="shared" si="13"/>
        <v>0</v>
      </c>
      <c r="L131">
        <f t="shared" si="14"/>
        <v>145</v>
      </c>
    </row>
    <row r="132" spans="2:12" x14ac:dyDescent="0.25">
      <c r="B132">
        <v>3</v>
      </c>
      <c r="C132">
        <v>122</v>
      </c>
      <c r="D132" s="12">
        <f t="shared" si="15"/>
        <v>3</v>
      </c>
      <c r="E132" s="11">
        <v>1</v>
      </c>
      <c r="F132" s="11">
        <v>1</v>
      </c>
      <c r="G132" s="11">
        <v>160</v>
      </c>
      <c r="H132" s="13">
        <v>150</v>
      </c>
      <c r="I132" s="11">
        <f t="shared" si="12"/>
        <v>939</v>
      </c>
      <c r="J132">
        <f t="shared" si="11"/>
        <v>949</v>
      </c>
      <c r="K132">
        <f t="shared" si="13"/>
        <v>0</v>
      </c>
      <c r="L132">
        <f t="shared" si="14"/>
        <v>150</v>
      </c>
    </row>
    <row r="133" spans="2:12" x14ac:dyDescent="0.25">
      <c r="B133">
        <v>3</v>
      </c>
      <c r="C133">
        <v>123</v>
      </c>
      <c r="D133" s="12">
        <f t="shared" si="15"/>
        <v>4</v>
      </c>
      <c r="E133" s="11">
        <v>1</v>
      </c>
      <c r="F133" s="11">
        <v>1</v>
      </c>
      <c r="G133" s="11">
        <v>130</v>
      </c>
      <c r="H133" s="13">
        <v>134</v>
      </c>
      <c r="I133" s="11">
        <f t="shared" si="12"/>
        <v>949</v>
      </c>
      <c r="J133">
        <f t="shared" si="11"/>
        <v>945</v>
      </c>
      <c r="K133">
        <f t="shared" si="13"/>
        <v>0</v>
      </c>
      <c r="L133">
        <f t="shared" si="14"/>
        <v>134</v>
      </c>
    </row>
    <row r="134" spans="2:12" x14ac:dyDescent="0.25">
      <c r="B134">
        <v>3</v>
      </c>
      <c r="C134">
        <v>124</v>
      </c>
      <c r="D134" s="12">
        <f t="shared" si="15"/>
        <v>5</v>
      </c>
      <c r="E134" s="11">
        <v>1</v>
      </c>
      <c r="F134" s="11">
        <v>1</v>
      </c>
      <c r="G134" s="11">
        <v>189</v>
      </c>
      <c r="H134" s="13">
        <v>136</v>
      </c>
      <c r="I134" s="11">
        <f t="shared" si="12"/>
        <v>945</v>
      </c>
      <c r="J134">
        <f t="shared" si="11"/>
        <v>998</v>
      </c>
      <c r="K134">
        <f t="shared" si="13"/>
        <v>0</v>
      </c>
      <c r="L134">
        <f t="shared" si="14"/>
        <v>136</v>
      </c>
    </row>
    <row r="135" spans="2:12" x14ac:dyDescent="0.25">
      <c r="B135">
        <v>3</v>
      </c>
      <c r="C135">
        <v>125</v>
      </c>
      <c r="D135" s="12">
        <f t="shared" si="15"/>
        <v>6</v>
      </c>
      <c r="E135" s="11">
        <v>0</v>
      </c>
      <c r="F135" s="11">
        <v>0</v>
      </c>
      <c r="G135" s="11">
        <v>0</v>
      </c>
      <c r="H135" s="13">
        <v>0</v>
      </c>
      <c r="I135" s="11">
        <f t="shared" si="12"/>
        <v>998</v>
      </c>
      <c r="J135">
        <f t="shared" si="11"/>
        <v>998</v>
      </c>
      <c r="K135">
        <f t="shared" si="13"/>
        <v>0</v>
      </c>
      <c r="L135" t="str">
        <f t="shared" si="14"/>
        <v/>
      </c>
    </row>
    <row r="136" spans="2:12" x14ac:dyDescent="0.25">
      <c r="B136">
        <v>3</v>
      </c>
      <c r="C136">
        <v>126</v>
      </c>
      <c r="D136" s="16">
        <f t="shared" si="15"/>
        <v>7</v>
      </c>
      <c r="E136" s="14">
        <v>0</v>
      </c>
      <c r="F136" s="14">
        <v>0</v>
      </c>
      <c r="G136" s="14">
        <v>0</v>
      </c>
      <c r="H136" s="15">
        <v>0</v>
      </c>
      <c r="I136" s="11">
        <f t="shared" si="12"/>
        <v>998</v>
      </c>
      <c r="J136">
        <f t="shared" si="11"/>
        <v>998</v>
      </c>
      <c r="K136">
        <f t="shared" si="13"/>
        <v>0</v>
      </c>
      <c r="L136" t="str">
        <f t="shared" si="14"/>
        <v/>
      </c>
    </row>
    <row r="137" spans="2:12" x14ac:dyDescent="0.25">
      <c r="B137">
        <v>4</v>
      </c>
      <c r="C137">
        <v>127</v>
      </c>
      <c r="D137" s="8">
        <f t="shared" si="15"/>
        <v>1</v>
      </c>
      <c r="E137" s="9">
        <v>1</v>
      </c>
      <c r="F137" s="9">
        <v>1</v>
      </c>
      <c r="G137" s="9">
        <v>151</v>
      </c>
      <c r="H137" s="10">
        <v>139</v>
      </c>
      <c r="I137" s="11">
        <f t="shared" si="12"/>
        <v>998</v>
      </c>
      <c r="J137">
        <f t="shared" si="11"/>
        <v>1010</v>
      </c>
      <c r="K137">
        <f t="shared" si="13"/>
        <v>0</v>
      </c>
      <c r="L137">
        <f t="shared" si="14"/>
        <v>139</v>
      </c>
    </row>
    <row r="138" spans="2:12" x14ac:dyDescent="0.25">
      <c r="B138">
        <v>4</v>
      </c>
      <c r="C138">
        <v>128</v>
      </c>
      <c r="D138" s="12">
        <f t="shared" si="15"/>
        <v>2</v>
      </c>
      <c r="E138" s="11">
        <v>1</v>
      </c>
      <c r="F138" s="11">
        <v>1</v>
      </c>
      <c r="G138" s="11">
        <v>132</v>
      </c>
      <c r="H138" s="13">
        <v>138</v>
      </c>
      <c r="I138" s="11">
        <f t="shared" si="12"/>
        <v>1010</v>
      </c>
      <c r="J138">
        <f t="shared" si="11"/>
        <v>1004</v>
      </c>
      <c r="K138">
        <f t="shared" si="13"/>
        <v>0</v>
      </c>
      <c r="L138">
        <f t="shared" si="14"/>
        <v>138</v>
      </c>
    </row>
    <row r="139" spans="2:12" x14ac:dyDescent="0.25">
      <c r="B139">
        <v>4</v>
      </c>
      <c r="C139">
        <v>129</v>
      </c>
      <c r="D139" s="12">
        <f t="shared" si="15"/>
        <v>3</v>
      </c>
      <c r="E139" s="11">
        <v>1</v>
      </c>
      <c r="F139" s="11">
        <v>1</v>
      </c>
      <c r="G139" s="11">
        <v>19</v>
      </c>
      <c r="H139" s="13">
        <v>160</v>
      </c>
      <c r="I139" s="11">
        <f t="shared" si="12"/>
        <v>1004</v>
      </c>
      <c r="J139">
        <f t="shared" si="11"/>
        <v>863</v>
      </c>
      <c r="K139">
        <f t="shared" si="13"/>
        <v>0</v>
      </c>
      <c r="L139">
        <f t="shared" si="14"/>
        <v>160</v>
      </c>
    </row>
    <row r="140" spans="2:12" x14ac:dyDescent="0.25">
      <c r="B140">
        <v>4</v>
      </c>
      <c r="C140">
        <v>130</v>
      </c>
      <c r="D140" s="12">
        <f t="shared" si="15"/>
        <v>4</v>
      </c>
      <c r="E140" s="11">
        <v>1</v>
      </c>
      <c r="F140" s="11">
        <v>1</v>
      </c>
      <c r="G140" s="11">
        <v>173</v>
      </c>
      <c r="H140" s="13">
        <v>143</v>
      </c>
      <c r="I140" s="11">
        <f t="shared" si="12"/>
        <v>863</v>
      </c>
      <c r="J140">
        <f t="shared" ref="J140:J178" si="16">I140+G140-H140</f>
        <v>893</v>
      </c>
      <c r="K140">
        <f t="shared" si="13"/>
        <v>0</v>
      </c>
      <c r="L140">
        <f t="shared" si="14"/>
        <v>143</v>
      </c>
    </row>
    <row r="141" spans="2:12" x14ac:dyDescent="0.25">
      <c r="B141">
        <v>4</v>
      </c>
      <c r="C141">
        <v>131</v>
      </c>
      <c r="D141" s="12">
        <f t="shared" si="15"/>
        <v>5</v>
      </c>
      <c r="E141" s="11">
        <v>1</v>
      </c>
      <c r="F141" s="11">
        <v>1</v>
      </c>
      <c r="G141" s="11">
        <v>161</v>
      </c>
      <c r="H141" s="13">
        <v>151</v>
      </c>
      <c r="I141" s="11">
        <f t="shared" ref="I141:I178" si="17">J140</f>
        <v>893</v>
      </c>
      <c r="J141">
        <f t="shared" si="16"/>
        <v>903</v>
      </c>
      <c r="K141">
        <f t="shared" ref="K141:K178" si="18">IF(AND(H141=I141,F141=1),1,0)</f>
        <v>0</v>
      </c>
      <c r="L141">
        <f t="shared" ref="L141:L178" si="19">IF(OR(F141=0,K141=1),"",H141)</f>
        <v>151</v>
      </c>
    </row>
    <row r="142" spans="2:12" x14ac:dyDescent="0.25">
      <c r="B142">
        <v>4</v>
      </c>
      <c r="C142">
        <v>132</v>
      </c>
      <c r="D142" s="12">
        <f t="shared" si="15"/>
        <v>6</v>
      </c>
      <c r="E142" s="11">
        <v>0</v>
      </c>
      <c r="F142" s="11">
        <v>1</v>
      </c>
      <c r="G142" s="11">
        <v>0</v>
      </c>
      <c r="H142" s="13">
        <v>139</v>
      </c>
      <c r="I142" s="11">
        <f t="shared" si="17"/>
        <v>903</v>
      </c>
      <c r="J142">
        <f t="shared" si="16"/>
        <v>764</v>
      </c>
      <c r="K142">
        <f t="shared" si="18"/>
        <v>0</v>
      </c>
      <c r="L142">
        <f t="shared" si="19"/>
        <v>139</v>
      </c>
    </row>
    <row r="143" spans="2:12" x14ac:dyDescent="0.25">
      <c r="B143">
        <v>4</v>
      </c>
      <c r="C143">
        <v>133</v>
      </c>
      <c r="D143" s="16">
        <f t="shared" si="15"/>
        <v>7</v>
      </c>
      <c r="E143" s="14">
        <v>0</v>
      </c>
      <c r="F143" s="14">
        <v>0</v>
      </c>
      <c r="G143" s="14">
        <v>0</v>
      </c>
      <c r="H143" s="15">
        <v>0</v>
      </c>
      <c r="I143" s="11">
        <f t="shared" si="17"/>
        <v>764</v>
      </c>
      <c r="J143">
        <f t="shared" si="16"/>
        <v>764</v>
      </c>
      <c r="K143">
        <f t="shared" si="18"/>
        <v>0</v>
      </c>
      <c r="L143" t="str">
        <f t="shared" si="19"/>
        <v/>
      </c>
    </row>
    <row r="144" spans="2:12" x14ac:dyDescent="0.25">
      <c r="B144">
        <v>4</v>
      </c>
      <c r="C144">
        <v>134</v>
      </c>
      <c r="D144" s="8">
        <f t="shared" si="15"/>
        <v>1</v>
      </c>
      <c r="E144" s="9">
        <v>1</v>
      </c>
      <c r="F144" s="9">
        <v>1</v>
      </c>
      <c r="G144" s="9">
        <v>156</v>
      </c>
      <c r="H144" s="10">
        <v>144</v>
      </c>
      <c r="I144" s="11">
        <f t="shared" si="17"/>
        <v>764</v>
      </c>
      <c r="J144">
        <f t="shared" si="16"/>
        <v>776</v>
      </c>
      <c r="K144">
        <f t="shared" si="18"/>
        <v>0</v>
      </c>
      <c r="L144">
        <f t="shared" si="19"/>
        <v>144</v>
      </c>
    </row>
    <row r="145" spans="2:12" x14ac:dyDescent="0.25">
      <c r="B145">
        <v>4</v>
      </c>
      <c r="C145">
        <v>135</v>
      </c>
      <c r="D145" s="12">
        <f t="shared" si="15"/>
        <v>2</v>
      </c>
      <c r="E145" s="11">
        <v>1</v>
      </c>
      <c r="F145" s="11">
        <v>1</v>
      </c>
      <c r="G145" s="11">
        <v>183</v>
      </c>
      <c r="H145" s="13">
        <v>147</v>
      </c>
      <c r="I145" s="11">
        <f t="shared" si="17"/>
        <v>776</v>
      </c>
      <c r="J145">
        <f t="shared" si="16"/>
        <v>812</v>
      </c>
      <c r="K145">
        <f t="shared" si="18"/>
        <v>0</v>
      </c>
      <c r="L145">
        <f t="shared" si="19"/>
        <v>147</v>
      </c>
    </row>
    <row r="146" spans="2:12" x14ac:dyDescent="0.25">
      <c r="B146">
        <v>4</v>
      </c>
      <c r="C146">
        <v>136</v>
      </c>
      <c r="D146" s="12">
        <f t="shared" si="15"/>
        <v>3</v>
      </c>
      <c r="E146" s="11">
        <v>1</v>
      </c>
      <c r="F146" s="11">
        <v>1</v>
      </c>
      <c r="G146" s="11">
        <v>154</v>
      </c>
      <c r="H146" s="13">
        <v>147</v>
      </c>
      <c r="I146" s="11">
        <f t="shared" si="17"/>
        <v>812</v>
      </c>
      <c r="J146">
        <f t="shared" si="16"/>
        <v>819</v>
      </c>
      <c r="K146">
        <f t="shared" si="18"/>
        <v>0</v>
      </c>
      <c r="L146">
        <f t="shared" si="19"/>
        <v>147</v>
      </c>
    </row>
    <row r="147" spans="2:12" x14ac:dyDescent="0.25">
      <c r="B147">
        <v>4</v>
      </c>
      <c r="C147">
        <v>137</v>
      </c>
      <c r="D147" s="12">
        <f t="shared" ref="D147:D178" si="20">D140</f>
        <v>4</v>
      </c>
      <c r="E147" s="11">
        <v>1</v>
      </c>
      <c r="F147" s="11">
        <v>1</v>
      </c>
      <c r="G147" s="11">
        <v>141</v>
      </c>
      <c r="H147" s="13">
        <v>139</v>
      </c>
      <c r="I147" s="11">
        <f t="shared" si="17"/>
        <v>819</v>
      </c>
      <c r="J147">
        <f t="shared" si="16"/>
        <v>821</v>
      </c>
      <c r="K147">
        <f t="shared" si="18"/>
        <v>0</v>
      </c>
      <c r="L147">
        <f t="shared" si="19"/>
        <v>139</v>
      </c>
    </row>
    <row r="148" spans="2:12" x14ac:dyDescent="0.25">
      <c r="B148">
        <v>4</v>
      </c>
      <c r="C148">
        <v>138</v>
      </c>
      <c r="D148" s="12">
        <f t="shared" si="20"/>
        <v>5</v>
      </c>
      <c r="E148" s="11">
        <v>1</v>
      </c>
      <c r="F148" s="11">
        <v>1</v>
      </c>
      <c r="G148" s="11">
        <v>143</v>
      </c>
      <c r="H148" s="13">
        <v>147</v>
      </c>
      <c r="I148" s="11">
        <f t="shared" si="17"/>
        <v>821</v>
      </c>
      <c r="J148">
        <f t="shared" si="16"/>
        <v>817</v>
      </c>
      <c r="K148">
        <f t="shared" si="18"/>
        <v>0</v>
      </c>
      <c r="L148">
        <f t="shared" si="19"/>
        <v>147</v>
      </c>
    </row>
    <row r="149" spans="2:12" x14ac:dyDescent="0.25">
      <c r="B149">
        <v>4</v>
      </c>
      <c r="C149">
        <v>139</v>
      </c>
      <c r="D149" s="12">
        <f t="shared" si="20"/>
        <v>6</v>
      </c>
      <c r="E149" s="11">
        <v>0</v>
      </c>
      <c r="F149" s="11">
        <v>1</v>
      </c>
      <c r="G149" s="11">
        <v>0</v>
      </c>
      <c r="H149" s="13">
        <v>134</v>
      </c>
      <c r="I149" s="11">
        <f t="shared" si="17"/>
        <v>817</v>
      </c>
      <c r="J149">
        <f t="shared" si="16"/>
        <v>683</v>
      </c>
      <c r="K149">
        <f t="shared" si="18"/>
        <v>0</v>
      </c>
      <c r="L149">
        <f t="shared" si="19"/>
        <v>134</v>
      </c>
    </row>
    <row r="150" spans="2:12" x14ac:dyDescent="0.25">
      <c r="B150">
        <v>4</v>
      </c>
      <c r="C150">
        <v>140</v>
      </c>
      <c r="D150" s="16">
        <f t="shared" si="20"/>
        <v>7</v>
      </c>
      <c r="E150" s="14">
        <v>0</v>
      </c>
      <c r="F150" s="14">
        <v>0</v>
      </c>
      <c r="G150" s="14">
        <v>0</v>
      </c>
      <c r="H150" s="15">
        <v>0</v>
      </c>
      <c r="I150" s="11">
        <f t="shared" si="17"/>
        <v>683</v>
      </c>
      <c r="J150">
        <f t="shared" si="16"/>
        <v>683</v>
      </c>
      <c r="K150">
        <f t="shared" si="18"/>
        <v>0</v>
      </c>
      <c r="L150" t="str">
        <f t="shared" si="19"/>
        <v/>
      </c>
    </row>
    <row r="151" spans="2:12" x14ac:dyDescent="0.25">
      <c r="B151">
        <v>4</v>
      </c>
      <c r="C151">
        <v>141</v>
      </c>
      <c r="D151" s="8">
        <f t="shared" si="20"/>
        <v>1</v>
      </c>
      <c r="E151" s="9">
        <v>1</v>
      </c>
      <c r="F151" s="9">
        <v>1</v>
      </c>
      <c r="G151" s="9">
        <v>184</v>
      </c>
      <c r="H151" s="10">
        <v>136</v>
      </c>
      <c r="I151" s="11">
        <f t="shared" si="17"/>
        <v>683</v>
      </c>
      <c r="J151">
        <f t="shared" si="16"/>
        <v>731</v>
      </c>
      <c r="K151">
        <f t="shared" si="18"/>
        <v>0</v>
      </c>
      <c r="L151">
        <f t="shared" si="19"/>
        <v>136</v>
      </c>
    </row>
    <row r="152" spans="2:12" x14ac:dyDescent="0.25">
      <c r="B152">
        <v>4</v>
      </c>
      <c r="C152">
        <v>142</v>
      </c>
      <c r="D152" s="12">
        <f t="shared" si="20"/>
        <v>2</v>
      </c>
      <c r="E152" s="11">
        <v>1</v>
      </c>
      <c r="F152" s="11">
        <v>1</v>
      </c>
      <c r="G152" s="11">
        <v>188</v>
      </c>
      <c r="H152" s="13">
        <v>154</v>
      </c>
      <c r="I152" s="11">
        <f t="shared" si="17"/>
        <v>731</v>
      </c>
      <c r="J152">
        <f t="shared" si="16"/>
        <v>765</v>
      </c>
      <c r="K152">
        <f t="shared" si="18"/>
        <v>0</v>
      </c>
      <c r="L152">
        <f t="shared" si="19"/>
        <v>154</v>
      </c>
    </row>
    <row r="153" spans="2:12" x14ac:dyDescent="0.25">
      <c r="B153">
        <v>4</v>
      </c>
      <c r="C153">
        <v>143</v>
      </c>
      <c r="D153" s="12">
        <f t="shared" si="20"/>
        <v>3</v>
      </c>
      <c r="E153" s="11">
        <v>1</v>
      </c>
      <c r="F153" s="11">
        <v>1</v>
      </c>
      <c r="G153" s="11">
        <v>178</v>
      </c>
      <c r="H153" s="13">
        <v>149</v>
      </c>
      <c r="I153" s="11">
        <f t="shared" si="17"/>
        <v>765</v>
      </c>
      <c r="J153">
        <f t="shared" si="16"/>
        <v>794</v>
      </c>
      <c r="K153">
        <f t="shared" si="18"/>
        <v>0</v>
      </c>
      <c r="L153">
        <f t="shared" si="19"/>
        <v>149</v>
      </c>
    </row>
    <row r="154" spans="2:12" x14ac:dyDescent="0.25">
      <c r="B154">
        <v>4</v>
      </c>
      <c r="C154">
        <v>144</v>
      </c>
      <c r="D154" s="12">
        <f t="shared" si="20"/>
        <v>4</v>
      </c>
      <c r="E154" s="11">
        <v>1</v>
      </c>
      <c r="F154" s="11">
        <v>1</v>
      </c>
      <c r="G154" s="11">
        <v>151</v>
      </c>
      <c r="H154" s="13">
        <v>139</v>
      </c>
      <c r="I154" s="11">
        <f t="shared" si="17"/>
        <v>794</v>
      </c>
      <c r="J154">
        <f t="shared" si="16"/>
        <v>806</v>
      </c>
      <c r="K154">
        <f t="shared" si="18"/>
        <v>0</v>
      </c>
      <c r="L154">
        <f t="shared" si="19"/>
        <v>139</v>
      </c>
    </row>
    <row r="155" spans="2:12" x14ac:dyDescent="0.25">
      <c r="B155">
        <v>4</v>
      </c>
      <c r="C155">
        <v>145</v>
      </c>
      <c r="D155" s="12">
        <f t="shared" si="20"/>
        <v>5</v>
      </c>
      <c r="E155" s="11">
        <v>1</v>
      </c>
      <c r="F155" s="11">
        <v>1</v>
      </c>
      <c r="G155" s="11">
        <v>160</v>
      </c>
      <c r="H155" s="13">
        <v>156</v>
      </c>
      <c r="I155" s="11">
        <f t="shared" si="17"/>
        <v>806</v>
      </c>
      <c r="J155">
        <f t="shared" si="16"/>
        <v>810</v>
      </c>
      <c r="K155">
        <f t="shared" si="18"/>
        <v>0</v>
      </c>
      <c r="L155">
        <f t="shared" si="19"/>
        <v>156</v>
      </c>
    </row>
    <row r="156" spans="2:12" x14ac:dyDescent="0.25">
      <c r="B156">
        <v>4</v>
      </c>
      <c r="C156">
        <v>146</v>
      </c>
      <c r="D156" s="12">
        <f t="shared" si="20"/>
        <v>6</v>
      </c>
      <c r="E156" s="11">
        <v>0</v>
      </c>
      <c r="F156" s="11">
        <v>1</v>
      </c>
      <c r="G156" s="11">
        <v>0</v>
      </c>
      <c r="H156" s="13">
        <v>158</v>
      </c>
      <c r="I156" s="11">
        <f t="shared" si="17"/>
        <v>810</v>
      </c>
      <c r="J156">
        <f t="shared" si="16"/>
        <v>652</v>
      </c>
      <c r="K156">
        <f t="shared" si="18"/>
        <v>0</v>
      </c>
      <c r="L156">
        <f t="shared" si="19"/>
        <v>158</v>
      </c>
    </row>
    <row r="157" spans="2:12" x14ac:dyDescent="0.25">
      <c r="B157">
        <v>4</v>
      </c>
      <c r="C157">
        <v>147</v>
      </c>
      <c r="D157" s="16">
        <f t="shared" si="20"/>
        <v>7</v>
      </c>
      <c r="E157" s="14">
        <v>0</v>
      </c>
      <c r="F157" s="14">
        <v>0</v>
      </c>
      <c r="G157" s="14">
        <v>0</v>
      </c>
      <c r="H157" s="15">
        <v>0</v>
      </c>
      <c r="I157" s="11">
        <f t="shared" si="17"/>
        <v>652</v>
      </c>
      <c r="J157">
        <f t="shared" si="16"/>
        <v>652</v>
      </c>
      <c r="K157">
        <f t="shared" si="18"/>
        <v>0</v>
      </c>
      <c r="L157" t="str">
        <f t="shared" si="19"/>
        <v/>
      </c>
    </row>
    <row r="158" spans="2:12" x14ac:dyDescent="0.25">
      <c r="B158">
        <v>4</v>
      </c>
      <c r="C158">
        <v>148</v>
      </c>
      <c r="D158" s="8">
        <f t="shared" si="20"/>
        <v>1</v>
      </c>
      <c r="E158" s="9">
        <v>1</v>
      </c>
      <c r="F158" s="9">
        <v>1</v>
      </c>
      <c r="G158" s="9">
        <v>183</v>
      </c>
      <c r="H158" s="10">
        <v>140</v>
      </c>
      <c r="I158" s="11">
        <f t="shared" si="17"/>
        <v>652</v>
      </c>
      <c r="J158">
        <f t="shared" si="16"/>
        <v>695</v>
      </c>
      <c r="K158">
        <f t="shared" si="18"/>
        <v>0</v>
      </c>
      <c r="L158">
        <f t="shared" si="19"/>
        <v>140</v>
      </c>
    </row>
    <row r="159" spans="2:12" x14ac:dyDescent="0.25">
      <c r="B159">
        <v>4</v>
      </c>
      <c r="C159">
        <v>149</v>
      </c>
      <c r="D159" s="12">
        <f t="shared" si="20"/>
        <v>2</v>
      </c>
      <c r="E159" s="11">
        <v>1</v>
      </c>
      <c r="F159" s="11">
        <v>1</v>
      </c>
      <c r="G159" s="11">
        <v>182</v>
      </c>
      <c r="H159" s="13">
        <v>141</v>
      </c>
      <c r="I159" s="11">
        <f t="shared" si="17"/>
        <v>695</v>
      </c>
      <c r="J159">
        <f t="shared" si="16"/>
        <v>736</v>
      </c>
      <c r="K159">
        <f t="shared" si="18"/>
        <v>0</v>
      </c>
      <c r="L159">
        <f t="shared" si="19"/>
        <v>141</v>
      </c>
    </row>
    <row r="160" spans="2:12" x14ac:dyDescent="0.25">
      <c r="B160">
        <v>4</v>
      </c>
      <c r="C160">
        <v>150</v>
      </c>
      <c r="D160" s="12">
        <f t="shared" si="20"/>
        <v>3</v>
      </c>
      <c r="E160" s="11">
        <v>1</v>
      </c>
      <c r="F160" s="11">
        <v>1</v>
      </c>
      <c r="G160" s="11">
        <v>132</v>
      </c>
      <c r="H160" s="13">
        <v>143</v>
      </c>
      <c r="I160" s="11">
        <f t="shared" si="17"/>
        <v>736</v>
      </c>
      <c r="J160">
        <f t="shared" si="16"/>
        <v>725</v>
      </c>
      <c r="K160">
        <f t="shared" si="18"/>
        <v>0</v>
      </c>
      <c r="L160">
        <f t="shared" si="19"/>
        <v>143</v>
      </c>
    </row>
    <row r="161" spans="2:12" x14ac:dyDescent="0.25">
      <c r="B161">
        <v>4</v>
      </c>
      <c r="C161">
        <v>151</v>
      </c>
      <c r="D161" s="12">
        <f t="shared" si="20"/>
        <v>4</v>
      </c>
      <c r="E161" s="11">
        <v>1</v>
      </c>
      <c r="F161" s="11">
        <v>1</v>
      </c>
      <c r="G161" s="11">
        <v>180</v>
      </c>
      <c r="H161" s="13">
        <v>160</v>
      </c>
      <c r="I161" s="11">
        <f t="shared" si="17"/>
        <v>725</v>
      </c>
      <c r="J161">
        <f t="shared" si="16"/>
        <v>745</v>
      </c>
      <c r="K161">
        <f t="shared" si="18"/>
        <v>0</v>
      </c>
      <c r="L161">
        <f t="shared" si="19"/>
        <v>160</v>
      </c>
    </row>
    <row r="162" spans="2:12" x14ac:dyDescent="0.25">
      <c r="B162">
        <v>4</v>
      </c>
      <c r="C162">
        <v>152</v>
      </c>
      <c r="D162" s="12">
        <f t="shared" si="20"/>
        <v>5</v>
      </c>
      <c r="E162" s="11">
        <v>1</v>
      </c>
      <c r="F162" s="11">
        <v>1</v>
      </c>
      <c r="G162" s="11">
        <v>181</v>
      </c>
      <c r="H162" s="13">
        <v>136</v>
      </c>
      <c r="I162" s="11">
        <f t="shared" si="17"/>
        <v>745</v>
      </c>
      <c r="J162">
        <f t="shared" si="16"/>
        <v>790</v>
      </c>
      <c r="K162">
        <f t="shared" si="18"/>
        <v>0</v>
      </c>
      <c r="L162">
        <f t="shared" si="19"/>
        <v>136</v>
      </c>
    </row>
    <row r="163" spans="2:12" x14ac:dyDescent="0.25">
      <c r="B163">
        <v>4</v>
      </c>
      <c r="C163">
        <v>153</v>
      </c>
      <c r="D163" s="12">
        <f t="shared" si="20"/>
        <v>6</v>
      </c>
      <c r="E163" s="11">
        <v>0</v>
      </c>
      <c r="F163" s="11">
        <v>1</v>
      </c>
      <c r="G163" s="11">
        <v>0</v>
      </c>
      <c r="H163" s="13">
        <v>155</v>
      </c>
      <c r="I163" s="11">
        <f t="shared" si="17"/>
        <v>790</v>
      </c>
      <c r="J163">
        <f t="shared" si="16"/>
        <v>635</v>
      </c>
      <c r="K163">
        <f t="shared" si="18"/>
        <v>0</v>
      </c>
      <c r="L163">
        <f t="shared" si="19"/>
        <v>155</v>
      </c>
    </row>
    <row r="164" spans="2:12" x14ac:dyDescent="0.25">
      <c r="B164">
        <v>4</v>
      </c>
      <c r="C164">
        <v>154</v>
      </c>
      <c r="D164" s="16">
        <f t="shared" si="20"/>
        <v>7</v>
      </c>
      <c r="E164" s="14">
        <v>0</v>
      </c>
      <c r="F164" s="14">
        <v>0</v>
      </c>
      <c r="G164" s="14">
        <v>0</v>
      </c>
      <c r="H164" s="15">
        <v>0</v>
      </c>
      <c r="I164" s="11">
        <f t="shared" si="17"/>
        <v>635</v>
      </c>
      <c r="J164">
        <f t="shared" si="16"/>
        <v>635</v>
      </c>
      <c r="K164">
        <f t="shared" si="18"/>
        <v>0</v>
      </c>
      <c r="L164" t="str">
        <f t="shared" si="19"/>
        <v/>
      </c>
    </row>
    <row r="165" spans="2:12" x14ac:dyDescent="0.25">
      <c r="B165">
        <v>4</v>
      </c>
      <c r="C165">
        <v>155</v>
      </c>
      <c r="D165" s="8">
        <f t="shared" si="20"/>
        <v>1</v>
      </c>
      <c r="E165" s="9">
        <v>1</v>
      </c>
      <c r="F165" s="9">
        <v>1</v>
      </c>
      <c r="G165" s="9">
        <v>145</v>
      </c>
      <c r="H165" s="10">
        <v>133</v>
      </c>
      <c r="I165" s="11">
        <f t="shared" si="17"/>
        <v>635</v>
      </c>
      <c r="J165">
        <f t="shared" si="16"/>
        <v>647</v>
      </c>
      <c r="K165">
        <f t="shared" si="18"/>
        <v>0</v>
      </c>
      <c r="L165">
        <f t="shared" si="19"/>
        <v>133</v>
      </c>
    </row>
    <row r="166" spans="2:12" x14ac:dyDescent="0.25">
      <c r="B166">
        <v>4</v>
      </c>
      <c r="C166">
        <v>156</v>
      </c>
      <c r="D166" s="12">
        <f t="shared" si="20"/>
        <v>2</v>
      </c>
      <c r="E166" s="11">
        <v>1</v>
      </c>
      <c r="F166" s="11">
        <v>1</v>
      </c>
      <c r="G166" s="11">
        <v>153</v>
      </c>
      <c r="H166" s="13">
        <v>137</v>
      </c>
      <c r="I166" s="11">
        <f t="shared" si="17"/>
        <v>647</v>
      </c>
      <c r="J166">
        <f t="shared" si="16"/>
        <v>663</v>
      </c>
      <c r="K166">
        <f t="shared" si="18"/>
        <v>0</v>
      </c>
      <c r="L166">
        <f t="shared" si="19"/>
        <v>137</v>
      </c>
    </row>
    <row r="167" spans="2:12" x14ac:dyDescent="0.25">
      <c r="B167">
        <v>4</v>
      </c>
      <c r="C167">
        <v>157</v>
      </c>
      <c r="D167" s="12">
        <f t="shared" si="20"/>
        <v>3</v>
      </c>
      <c r="E167" s="11">
        <v>1</v>
      </c>
      <c r="F167" s="11">
        <v>1</v>
      </c>
      <c r="G167" s="11">
        <v>144</v>
      </c>
      <c r="H167" s="13">
        <v>155</v>
      </c>
      <c r="I167" s="11">
        <f t="shared" si="17"/>
        <v>663</v>
      </c>
      <c r="J167">
        <f t="shared" si="16"/>
        <v>652</v>
      </c>
      <c r="K167">
        <f t="shared" si="18"/>
        <v>0</v>
      </c>
      <c r="L167">
        <f t="shared" si="19"/>
        <v>155</v>
      </c>
    </row>
    <row r="168" spans="2:12" x14ac:dyDescent="0.25">
      <c r="B168">
        <v>4</v>
      </c>
      <c r="C168">
        <v>158</v>
      </c>
      <c r="D168" s="12">
        <f t="shared" si="20"/>
        <v>4</v>
      </c>
      <c r="E168" s="11">
        <v>1</v>
      </c>
      <c r="F168" s="11">
        <v>1</v>
      </c>
      <c r="G168" s="11">
        <v>149</v>
      </c>
      <c r="H168" s="13">
        <v>150</v>
      </c>
      <c r="I168" s="11">
        <f t="shared" si="17"/>
        <v>652</v>
      </c>
      <c r="J168">
        <f t="shared" si="16"/>
        <v>651</v>
      </c>
      <c r="K168">
        <f t="shared" si="18"/>
        <v>0</v>
      </c>
      <c r="L168">
        <f t="shared" si="19"/>
        <v>150</v>
      </c>
    </row>
    <row r="169" spans="2:12" x14ac:dyDescent="0.25">
      <c r="B169">
        <v>4</v>
      </c>
      <c r="C169">
        <v>159</v>
      </c>
      <c r="D169" s="12">
        <f t="shared" si="20"/>
        <v>5</v>
      </c>
      <c r="E169" s="11">
        <v>1</v>
      </c>
      <c r="F169" s="11">
        <v>1</v>
      </c>
      <c r="G169" s="11">
        <v>143</v>
      </c>
      <c r="H169" s="13">
        <v>140</v>
      </c>
      <c r="I169" s="11">
        <f t="shared" si="17"/>
        <v>651</v>
      </c>
      <c r="J169">
        <f t="shared" si="16"/>
        <v>654</v>
      </c>
      <c r="K169">
        <f t="shared" si="18"/>
        <v>0</v>
      </c>
      <c r="L169">
        <f t="shared" si="19"/>
        <v>140</v>
      </c>
    </row>
    <row r="170" spans="2:12" x14ac:dyDescent="0.25">
      <c r="B170">
        <v>4</v>
      </c>
      <c r="C170">
        <v>160</v>
      </c>
      <c r="D170" s="12">
        <f t="shared" si="20"/>
        <v>6</v>
      </c>
      <c r="E170" s="11">
        <v>0</v>
      </c>
      <c r="F170" s="11">
        <v>1</v>
      </c>
      <c r="G170" s="11">
        <v>0</v>
      </c>
      <c r="H170" s="13">
        <v>157</v>
      </c>
      <c r="I170" s="11">
        <f t="shared" si="17"/>
        <v>654</v>
      </c>
      <c r="J170">
        <f t="shared" si="16"/>
        <v>497</v>
      </c>
      <c r="K170">
        <f t="shared" si="18"/>
        <v>0</v>
      </c>
      <c r="L170">
        <f t="shared" si="19"/>
        <v>157</v>
      </c>
    </row>
    <row r="171" spans="2:12" x14ac:dyDescent="0.25">
      <c r="B171">
        <v>4</v>
      </c>
      <c r="C171">
        <v>161</v>
      </c>
      <c r="D171" s="16">
        <f t="shared" si="20"/>
        <v>7</v>
      </c>
      <c r="E171" s="14">
        <v>0</v>
      </c>
      <c r="F171" s="14">
        <v>0</v>
      </c>
      <c r="G171" s="14">
        <v>0</v>
      </c>
      <c r="H171" s="15">
        <v>0</v>
      </c>
      <c r="I171" s="11">
        <f t="shared" si="17"/>
        <v>497</v>
      </c>
      <c r="J171">
        <f t="shared" si="16"/>
        <v>497</v>
      </c>
      <c r="K171">
        <f t="shared" si="18"/>
        <v>0</v>
      </c>
      <c r="L171" t="str">
        <f t="shared" si="19"/>
        <v/>
      </c>
    </row>
    <row r="172" spans="2:12" x14ac:dyDescent="0.25">
      <c r="B172">
        <v>4</v>
      </c>
      <c r="C172">
        <v>162</v>
      </c>
      <c r="D172" s="8">
        <f t="shared" si="20"/>
        <v>1</v>
      </c>
      <c r="E172" s="9">
        <v>1</v>
      </c>
      <c r="F172" s="9">
        <v>1</v>
      </c>
      <c r="G172" s="9">
        <v>149</v>
      </c>
      <c r="H172" s="10">
        <v>158</v>
      </c>
      <c r="I172" s="11">
        <f t="shared" si="17"/>
        <v>497</v>
      </c>
      <c r="J172">
        <f t="shared" si="16"/>
        <v>488</v>
      </c>
      <c r="K172">
        <f t="shared" si="18"/>
        <v>0</v>
      </c>
      <c r="L172">
        <f t="shared" si="19"/>
        <v>158</v>
      </c>
    </row>
    <row r="173" spans="2:12" x14ac:dyDescent="0.25">
      <c r="B173">
        <v>4</v>
      </c>
      <c r="C173">
        <v>163</v>
      </c>
      <c r="D173" s="12">
        <f t="shared" si="20"/>
        <v>2</v>
      </c>
      <c r="E173" s="11">
        <v>1</v>
      </c>
      <c r="F173" s="11">
        <v>1</v>
      </c>
      <c r="G173" s="11">
        <v>156</v>
      </c>
      <c r="H173" s="13">
        <v>141</v>
      </c>
      <c r="I173" s="11">
        <f t="shared" si="17"/>
        <v>488</v>
      </c>
      <c r="J173">
        <f t="shared" si="16"/>
        <v>503</v>
      </c>
      <c r="K173">
        <f t="shared" si="18"/>
        <v>0</v>
      </c>
      <c r="L173">
        <f t="shared" si="19"/>
        <v>141</v>
      </c>
    </row>
    <row r="174" spans="2:12" x14ac:dyDescent="0.25">
      <c r="B174">
        <v>4</v>
      </c>
      <c r="C174">
        <v>164</v>
      </c>
      <c r="D174" s="12">
        <f t="shared" si="20"/>
        <v>3</v>
      </c>
      <c r="E174" s="11">
        <v>1</v>
      </c>
      <c r="F174" s="11">
        <v>1</v>
      </c>
      <c r="G174" s="11">
        <v>163</v>
      </c>
      <c r="H174" s="13">
        <v>142</v>
      </c>
      <c r="I174" s="11">
        <f t="shared" si="17"/>
        <v>503</v>
      </c>
      <c r="J174">
        <f t="shared" si="16"/>
        <v>524</v>
      </c>
      <c r="K174">
        <f t="shared" si="18"/>
        <v>0</v>
      </c>
      <c r="L174">
        <f t="shared" si="19"/>
        <v>142</v>
      </c>
    </row>
    <row r="175" spans="2:12" x14ac:dyDescent="0.25">
      <c r="B175">
        <v>4</v>
      </c>
      <c r="C175">
        <v>165</v>
      </c>
      <c r="D175" s="12">
        <f t="shared" si="20"/>
        <v>4</v>
      </c>
      <c r="E175" s="11">
        <v>1</v>
      </c>
      <c r="F175" s="11">
        <v>1</v>
      </c>
      <c r="G175" s="11">
        <v>128</v>
      </c>
      <c r="H175" s="13">
        <v>144</v>
      </c>
      <c r="I175" s="11">
        <f t="shared" si="17"/>
        <v>524</v>
      </c>
      <c r="J175">
        <f t="shared" si="16"/>
        <v>508</v>
      </c>
      <c r="K175">
        <f t="shared" si="18"/>
        <v>0</v>
      </c>
      <c r="L175">
        <f t="shared" si="19"/>
        <v>144</v>
      </c>
    </row>
    <row r="176" spans="2:12" x14ac:dyDescent="0.25">
      <c r="B176">
        <v>4</v>
      </c>
      <c r="C176">
        <v>166</v>
      </c>
      <c r="D176" s="12">
        <f t="shared" si="20"/>
        <v>5</v>
      </c>
      <c r="E176" s="11">
        <v>1</v>
      </c>
      <c r="F176" s="11">
        <v>1</v>
      </c>
      <c r="G176" s="11">
        <v>135</v>
      </c>
      <c r="H176" s="13">
        <v>161</v>
      </c>
      <c r="I176" s="11">
        <f t="shared" si="17"/>
        <v>508</v>
      </c>
      <c r="J176">
        <f t="shared" si="16"/>
        <v>482</v>
      </c>
      <c r="K176">
        <f t="shared" si="18"/>
        <v>0</v>
      </c>
      <c r="L176">
        <f t="shared" si="19"/>
        <v>161</v>
      </c>
    </row>
    <row r="177" spans="2:12" x14ac:dyDescent="0.25">
      <c r="B177">
        <v>4</v>
      </c>
      <c r="C177">
        <v>167</v>
      </c>
      <c r="D177" s="12">
        <f t="shared" si="20"/>
        <v>6</v>
      </c>
      <c r="E177" s="11">
        <v>0</v>
      </c>
      <c r="F177" s="11">
        <v>1</v>
      </c>
      <c r="G177" s="11">
        <v>0</v>
      </c>
      <c r="H177" s="13">
        <v>137</v>
      </c>
      <c r="I177" s="11">
        <f t="shared" si="17"/>
        <v>482</v>
      </c>
      <c r="J177">
        <f t="shared" si="16"/>
        <v>345</v>
      </c>
      <c r="K177">
        <f t="shared" si="18"/>
        <v>0</v>
      </c>
      <c r="L177">
        <f t="shared" si="19"/>
        <v>137</v>
      </c>
    </row>
    <row r="178" spans="2:12" x14ac:dyDescent="0.25">
      <c r="B178">
        <v>4</v>
      </c>
      <c r="C178">
        <v>168</v>
      </c>
      <c r="D178" s="16">
        <f t="shared" si="20"/>
        <v>7</v>
      </c>
      <c r="E178" s="14">
        <v>0</v>
      </c>
      <c r="F178" s="14">
        <v>0</v>
      </c>
      <c r="G178" s="14">
        <v>0</v>
      </c>
      <c r="H178" s="15">
        <v>0</v>
      </c>
      <c r="I178" s="11">
        <f t="shared" si="17"/>
        <v>345</v>
      </c>
      <c r="J178">
        <f t="shared" si="16"/>
        <v>345</v>
      </c>
      <c r="K178">
        <f t="shared" si="18"/>
        <v>0</v>
      </c>
      <c r="L178" t="str">
        <f t="shared" si="19"/>
        <v/>
      </c>
    </row>
  </sheetData>
  <conditionalFormatting sqref="E11:E178">
    <cfRule type="cellIs" dxfId="10" priority="4" operator="equal">
      <formula>0</formula>
    </cfRule>
  </conditionalFormatting>
  <conditionalFormatting sqref="G11:G178">
    <cfRule type="cellIs" dxfId="9" priority="3" operator="equal">
      <formula>0</formula>
    </cfRule>
  </conditionalFormatting>
  <conditionalFormatting sqref="F11:F178">
    <cfRule type="cellIs" dxfId="8" priority="2" operator="equal">
      <formula>0</formula>
    </cfRule>
  </conditionalFormatting>
  <conditionalFormatting sqref="H11:H178">
    <cfRule type="cellIs" dxfId="7" priority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918B8-E6ED-443B-85DA-AF28417C6055}">
  <sheetPr codeName="Sheet2"/>
  <dimension ref="A1:I178"/>
  <sheetViews>
    <sheetView workbookViewId="0">
      <selection activeCell="H174" sqref="H174"/>
    </sheetView>
  </sheetViews>
  <sheetFormatPr defaultRowHeight="15" x14ac:dyDescent="0.25"/>
  <sheetData>
    <row r="1" spans="1:9" x14ac:dyDescent="0.25">
      <c r="A1" s="1"/>
      <c r="B1" s="17" t="s">
        <v>7</v>
      </c>
      <c r="C1" s="1"/>
      <c r="D1" s="1"/>
      <c r="E1" s="1"/>
      <c r="F1" s="1"/>
      <c r="G1" s="1"/>
      <c r="H1" s="1"/>
      <c r="I1" s="1"/>
    </row>
    <row r="2" spans="1:9" x14ac:dyDescent="0.25">
      <c r="A2" s="1"/>
      <c r="B2" s="2" t="s">
        <v>8</v>
      </c>
      <c r="C2" s="1"/>
      <c r="D2" s="1"/>
      <c r="E2" s="1"/>
      <c r="F2" s="1"/>
      <c r="G2" s="1"/>
      <c r="H2" s="1"/>
      <c r="I2" s="1"/>
    </row>
    <row r="3" spans="1:9" x14ac:dyDescent="0.25">
      <c r="A3" s="1"/>
      <c r="B3" s="2" t="s">
        <v>9</v>
      </c>
      <c r="C3" s="1"/>
      <c r="D3" s="1"/>
      <c r="E3" s="1"/>
      <c r="F3" s="1"/>
      <c r="G3" s="1"/>
      <c r="H3" s="1"/>
      <c r="I3" s="1"/>
    </row>
    <row r="4" spans="1:9" x14ac:dyDescent="0.25">
      <c r="A4" s="1"/>
      <c r="B4" s="2"/>
      <c r="C4" s="1"/>
      <c r="D4" s="1"/>
      <c r="E4" s="1"/>
      <c r="F4" s="1"/>
      <c r="G4" s="1"/>
      <c r="H4" s="1"/>
      <c r="I4" s="1"/>
    </row>
    <row r="5" spans="1:9" x14ac:dyDescent="0.25">
      <c r="A5" s="1"/>
      <c r="B5" s="2"/>
      <c r="C5" s="1"/>
      <c r="D5" s="1"/>
      <c r="E5" s="1"/>
      <c r="F5" s="1"/>
      <c r="G5" s="1"/>
      <c r="H5" s="1"/>
      <c r="I5" s="1"/>
    </row>
    <row r="6" spans="1:9" x14ac:dyDescent="0.25">
      <c r="A6" s="1"/>
      <c r="B6" s="2"/>
      <c r="C6" s="1"/>
      <c r="D6" s="1"/>
      <c r="E6" s="1"/>
      <c r="F6" s="1"/>
      <c r="G6" s="1"/>
      <c r="H6" s="1"/>
      <c r="I6" s="1"/>
    </row>
    <row r="7" spans="1:9" x14ac:dyDescent="0.25">
      <c r="A7" s="1"/>
      <c r="B7" s="2"/>
      <c r="C7" s="1"/>
      <c r="D7" s="1"/>
      <c r="E7" s="1"/>
      <c r="F7" s="1"/>
      <c r="G7" s="1"/>
      <c r="H7" s="1"/>
      <c r="I7" s="4"/>
    </row>
    <row r="8" spans="1:9" x14ac:dyDescent="0.25">
      <c r="A8" s="1"/>
      <c r="B8" s="2"/>
      <c r="C8" s="1"/>
      <c r="D8" s="1"/>
      <c r="E8" s="1"/>
      <c r="F8" s="1"/>
      <c r="G8" s="1"/>
      <c r="H8" s="1"/>
      <c r="I8" s="1"/>
    </row>
    <row r="9" spans="1:9" x14ac:dyDescent="0.25">
      <c r="A9" s="1"/>
      <c r="B9" s="2"/>
      <c r="C9" s="1"/>
      <c r="D9" s="1"/>
      <c r="E9" s="1"/>
      <c r="F9" s="1"/>
      <c r="G9" s="1"/>
      <c r="H9" s="1"/>
      <c r="I9" s="3"/>
    </row>
    <row r="10" spans="1:9" ht="76.5" customHeight="1" x14ac:dyDescent="0.35">
      <c r="A10" s="5"/>
      <c r="B10" s="6" t="s">
        <v>0</v>
      </c>
      <c r="C10" s="6" t="s">
        <v>1</v>
      </c>
      <c r="D10" s="7" t="s">
        <v>2</v>
      </c>
      <c r="E10" s="7" t="s">
        <v>3</v>
      </c>
      <c r="F10" s="6" t="s">
        <v>4</v>
      </c>
      <c r="G10" s="7" t="s">
        <v>5</v>
      </c>
      <c r="H10" s="6" t="s">
        <v>6</v>
      </c>
      <c r="I10" s="6"/>
    </row>
    <row r="11" spans="1:9" x14ac:dyDescent="0.25">
      <c r="B11">
        <v>1</v>
      </c>
      <c r="C11">
        <v>1</v>
      </c>
      <c r="D11" s="8">
        <v>1</v>
      </c>
      <c r="E11" s="9">
        <v>1</v>
      </c>
      <c r="F11" s="9">
        <v>1</v>
      </c>
      <c r="G11" s="9">
        <v>45</v>
      </c>
      <c r="H11" s="10">
        <v>0</v>
      </c>
      <c r="I11" s="11"/>
    </row>
    <row r="12" spans="1:9" x14ac:dyDescent="0.25">
      <c r="B12">
        <v>1</v>
      </c>
      <c r="C12">
        <v>2</v>
      </c>
      <c r="D12" s="12">
        <v>2</v>
      </c>
      <c r="E12" s="11">
        <v>1</v>
      </c>
      <c r="F12" s="11">
        <v>1</v>
      </c>
      <c r="G12" s="11">
        <v>73</v>
      </c>
      <c r="H12" s="13">
        <v>45</v>
      </c>
      <c r="I12" s="11"/>
    </row>
    <row r="13" spans="1:9" x14ac:dyDescent="0.25">
      <c r="B13">
        <v>1</v>
      </c>
      <c r="C13">
        <v>3</v>
      </c>
      <c r="D13" s="12">
        <v>3</v>
      </c>
      <c r="E13" s="11">
        <v>1</v>
      </c>
      <c r="F13" s="11">
        <v>1</v>
      </c>
      <c r="G13" s="11">
        <v>55</v>
      </c>
      <c r="H13" s="13">
        <v>73</v>
      </c>
      <c r="I13" s="11"/>
    </row>
    <row r="14" spans="1:9" x14ac:dyDescent="0.25">
      <c r="B14">
        <v>1</v>
      </c>
      <c r="C14">
        <v>4</v>
      </c>
      <c r="D14" s="12">
        <v>4</v>
      </c>
      <c r="E14" s="11">
        <v>1</v>
      </c>
      <c r="F14" s="11">
        <v>1</v>
      </c>
      <c r="G14" s="11">
        <v>40</v>
      </c>
      <c r="H14" s="13">
        <v>55</v>
      </c>
      <c r="I14" s="11"/>
    </row>
    <row r="15" spans="1:9" x14ac:dyDescent="0.25">
      <c r="B15">
        <v>1</v>
      </c>
      <c r="C15" s="11">
        <v>5</v>
      </c>
      <c r="D15" s="12">
        <v>5</v>
      </c>
      <c r="E15" s="11">
        <v>1</v>
      </c>
      <c r="F15" s="11">
        <v>0</v>
      </c>
      <c r="G15" s="11">
        <v>84</v>
      </c>
      <c r="H15" s="13">
        <v>0</v>
      </c>
      <c r="I15" s="11"/>
    </row>
    <row r="16" spans="1:9" x14ac:dyDescent="0.25">
      <c r="B16">
        <v>1</v>
      </c>
      <c r="C16">
        <v>6</v>
      </c>
      <c r="D16" s="12">
        <v>6</v>
      </c>
      <c r="E16" s="11">
        <v>0</v>
      </c>
      <c r="F16" s="11">
        <v>0</v>
      </c>
      <c r="G16" s="11">
        <v>0</v>
      </c>
      <c r="H16" s="13">
        <v>0</v>
      </c>
      <c r="I16" s="11"/>
    </row>
    <row r="17" spans="2:9" x14ac:dyDescent="0.25">
      <c r="B17" s="14">
        <v>1</v>
      </c>
      <c r="C17" s="15">
        <v>7</v>
      </c>
      <c r="D17" s="16">
        <v>7</v>
      </c>
      <c r="E17" s="14">
        <v>0</v>
      </c>
      <c r="F17" s="14">
        <v>0</v>
      </c>
      <c r="G17" s="14">
        <v>0</v>
      </c>
      <c r="H17" s="15">
        <v>0</v>
      </c>
      <c r="I17" s="11"/>
    </row>
    <row r="18" spans="2:9" hidden="1" x14ac:dyDescent="0.25">
      <c r="B18">
        <v>1</v>
      </c>
      <c r="C18">
        <v>8</v>
      </c>
      <c r="D18" s="8">
        <f>D11</f>
        <v>1</v>
      </c>
      <c r="E18" s="9">
        <v>1</v>
      </c>
      <c r="F18" s="9">
        <v>1</v>
      </c>
      <c r="G18" s="9">
        <v>84</v>
      </c>
      <c r="H18" s="10">
        <v>124</v>
      </c>
      <c r="I18" s="11"/>
    </row>
    <row r="19" spans="2:9" hidden="1" x14ac:dyDescent="0.25">
      <c r="B19">
        <v>1</v>
      </c>
      <c r="C19">
        <v>9</v>
      </c>
      <c r="D19" s="12">
        <f t="shared" ref="D19:D82" si="0">D12</f>
        <v>2</v>
      </c>
      <c r="E19" s="11">
        <v>1</v>
      </c>
      <c r="F19" s="11">
        <v>1</v>
      </c>
      <c r="G19" s="11">
        <v>46</v>
      </c>
      <c r="H19" s="13">
        <v>84</v>
      </c>
      <c r="I19" s="11"/>
    </row>
    <row r="20" spans="2:9" hidden="1" x14ac:dyDescent="0.25">
      <c r="B20">
        <v>1</v>
      </c>
      <c r="C20">
        <v>10</v>
      </c>
      <c r="D20" s="12">
        <f t="shared" si="0"/>
        <v>3</v>
      </c>
      <c r="E20" s="11">
        <v>1</v>
      </c>
      <c r="F20" s="11">
        <v>1</v>
      </c>
      <c r="G20" s="11">
        <v>59</v>
      </c>
      <c r="H20" s="13">
        <v>46</v>
      </c>
      <c r="I20" s="11"/>
    </row>
    <row r="21" spans="2:9" hidden="1" x14ac:dyDescent="0.25">
      <c r="B21">
        <v>1</v>
      </c>
      <c r="C21">
        <v>11</v>
      </c>
      <c r="D21" s="12">
        <f t="shared" si="0"/>
        <v>4</v>
      </c>
      <c r="E21" s="11">
        <v>1</v>
      </c>
      <c r="F21" s="11">
        <v>1</v>
      </c>
      <c r="G21" s="11">
        <v>73</v>
      </c>
      <c r="H21" s="13">
        <v>59</v>
      </c>
      <c r="I21" s="11"/>
    </row>
    <row r="22" spans="2:9" hidden="1" x14ac:dyDescent="0.25">
      <c r="B22">
        <v>1</v>
      </c>
      <c r="C22">
        <v>12</v>
      </c>
      <c r="D22" s="12">
        <f t="shared" si="0"/>
        <v>5</v>
      </c>
      <c r="E22" s="11">
        <v>1</v>
      </c>
      <c r="F22" s="11">
        <v>0</v>
      </c>
      <c r="G22" s="11">
        <v>77</v>
      </c>
      <c r="H22" s="13">
        <v>0</v>
      </c>
      <c r="I22" s="11"/>
    </row>
    <row r="23" spans="2:9" hidden="1" x14ac:dyDescent="0.25">
      <c r="B23">
        <v>1</v>
      </c>
      <c r="C23">
        <v>13</v>
      </c>
      <c r="D23" s="12">
        <f t="shared" si="0"/>
        <v>6</v>
      </c>
      <c r="E23" s="11">
        <v>0</v>
      </c>
      <c r="F23" s="11">
        <v>0</v>
      </c>
      <c r="G23" s="11">
        <v>0</v>
      </c>
      <c r="H23" s="13">
        <v>0</v>
      </c>
      <c r="I23" s="11"/>
    </row>
    <row r="24" spans="2:9" hidden="1" x14ac:dyDescent="0.25">
      <c r="B24">
        <v>1</v>
      </c>
      <c r="C24">
        <v>14</v>
      </c>
      <c r="D24" s="16">
        <f t="shared" si="0"/>
        <v>7</v>
      </c>
      <c r="E24" s="14">
        <v>0</v>
      </c>
      <c r="F24" s="14">
        <v>0</v>
      </c>
      <c r="G24" s="14">
        <v>0</v>
      </c>
      <c r="H24" s="15">
        <v>0</v>
      </c>
      <c r="I24" s="11"/>
    </row>
    <row r="25" spans="2:9" hidden="1" x14ac:dyDescent="0.25">
      <c r="B25">
        <v>1</v>
      </c>
      <c r="C25">
        <v>15</v>
      </c>
      <c r="D25" s="8">
        <f t="shared" si="0"/>
        <v>1</v>
      </c>
      <c r="E25" s="9">
        <v>1</v>
      </c>
      <c r="F25" s="9">
        <v>1</v>
      </c>
      <c r="G25" s="9">
        <v>96</v>
      </c>
      <c r="H25" s="10">
        <v>134</v>
      </c>
      <c r="I25" s="11"/>
    </row>
    <row r="26" spans="2:9" hidden="1" x14ac:dyDescent="0.25">
      <c r="B26">
        <v>1</v>
      </c>
      <c r="C26">
        <v>16</v>
      </c>
      <c r="D26" s="12">
        <f t="shared" si="0"/>
        <v>2</v>
      </c>
      <c r="E26" s="11">
        <v>1</v>
      </c>
      <c r="F26" s="11">
        <v>1</v>
      </c>
      <c r="G26" s="11">
        <v>96</v>
      </c>
      <c r="H26" s="13">
        <v>112</v>
      </c>
      <c r="I26" s="11"/>
    </row>
    <row r="27" spans="2:9" hidden="1" x14ac:dyDescent="0.25">
      <c r="B27">
        <v>1</v>
      </c>
      <c r="C27">
        <v>17</v>
      </c>
      <c r="D27" s="12">
        <f t="shared" si="0"/>
        <v>3</v>
      </c>
      <c r="E27" s="11">
        <v>1</v>
      </c>
      <c r="F27" s="11">
        <v>1</v>
      </c>
      <c r="G27" s="11">
        <v>95</v>
      </c>
      <c r="H27" s="13">
        <v>96</v>
      </c>
      <c r="I27" s="11"/>
    </row>
    <row r="28" spans="2:9" hidden="1" x14ac:dyDescent="0.25">
      <c r="B28">
        <v>1</v>
      </c>
      <c r="C28">
        <v>18</v>
      </c>
      <c r="D28" s="12">
        <f t="shared" si="0"/>
        <v>4</v>
      </c>
      <c r="E28" s="11">
        <v>1</v>
      </c>
      <c r="F28" s="11">
        <v>1</v>
      </c>
      <c r="G28" s="11">
        <v>104</v>
      </c>
      <c r="H28" s="13">
        <v>95</v>
      </c>
      <c r="I28" s="11"/>
    </row>
    <row r="29" spans="2:9" hidden="1" x14ac:dyDescent="0.25">
      <c r="B29">
        <v>1</v>
      </c>
      <c r="C29">
        <v>19</v>
      </c>
      <c r="D29" s="12">
        <f t="shared" si="0"/>
        <v>5</v>
      </c>
      <c r="E29" s="11">
        <v>1</v>
      </c>
      <c r="F29" s="11">
        <v>0</v>
      </c>
      <c r="G29" s="11">
        <v>88</v>
      </c>
      <c r="H29" s="13">
        <v>0</v>
      </c>
      <c r="I29" s="11"/>
    </row>
    <row r="30" spans="2:9" hidden="1" x14ac:dyDescent="0.25">
      <c r="B30">
        <v>1</v>
      </c>
      <c r="C30">
        <v>20</v>
      </c>
      <c r="D30" s="12">
        <f t="shared" si="0"/>
        <v>6</v>
      </c>
      <c r="E30" s="11">
        <v>0</v>
      </c>
      <c r="F30" s="11">
        <v>0</v>
      </c>
      <c r="G30" s="11">
        <v>0</v>
      </c>
      <c r="H30" s="13">
        <v>0</v>
      </c>
      <c r="I30" s="11"/>
    </row>
    <row r="31" spans="2:9" hidden="1" x14ac:dyDescent="0.25">
      <c r="B31">
        <v>1</v>
      </c>
      <c r="C31">
        <v>21</v>
      </c>
      <c r="D31" s="16">
        <f t="shared" si="0"/>
        <v>7</v>
      </c>
      <c r="E31" s="14">
        <v>0</v>
      </c>
      <c r="F31" s="14">
        <v>0</v>
      </c>
      <c r="G31" s="14">
        <v>0</v>
      </c>
      <c r="H31" s="15">
        <v>0</v>
      </c>
      <c r="I31" s="11"/>
    </row>
    <row r="32" spans="2:9" hidden="1" x14ac:dyDescent="0.25">
      <c r="B32">
        <v>1</v>
      </c>
      <c r="C32">
        <v>22</v>
      </c>
      <c r="D32" s="8">
        <f t="shared" si="0"/>
        <v>1</v>
      </c>
      <c r="E32" s="9">
        <v>1</v>
      </c>
      <c r="F32" s="9">
        <v>1</v>
      </c>
      <c r="G32" s="9">
        <v>77</v>
      </c>
      <c r="H32" s="10">
        <v>133</v>
      </c>
      <c r="I32" s="11"/>
    </row>
    <row r="33" spans="2:9" hidden="1" x14ac:dyDescent="0.25">
      <c r="B33">
        <v>1</v>
      </c>
      <c r="C33">
        <v>23</v>
      </c>
      <c r="D33" s="12">
        <f t="shared" si="0"/>
        <v>2</v>
      </c>
      <c r="E33" s="11">
        <v>1</v>
      </c>
      <c r="F33" s="11">
        <v>1</v>
      </c>
      <c r="G33" s="11">
        <v>86</v>
      </c>
      <c r="H33" s="13">
        <v>136</v>
      </c>
      <c r="I33" s="11"/>
    </row>
    <row r="34" spans="2:9" hidden="1" x14ac:dyDescent="0.25">
      <c r="B34">
        <v>1</v>
      </c>
      <c r="C34">
        <v>24</v>
      </c>
      <c r="D34" s="12">
        <f t="shared" si="0"/>
        <v>3</v>
      </c>
      <c r="E34" s="11">
        <v>1</v>
      </c>
      <c r="F34" s="11">
        <v>1</v>
      </c>
      <c r="G34" s="11">
        <v>86</v>
      </c>
      <c r="H34" s="13">
        <v>86</v>
      </c>
      <c r="I34" s="11"/>
    </row>
    <row r="35" spans="2:9" hidden="1" x14ac:dyDescent="0.25">
      <c r="B35">
        <v>1</v>
      </c>
      <c r="C35">
        <v>25</v>
      </c>
      <c r="D35" s="12">
        <f t="shared" si="0"/>
        <v>4</v>
      </c>
      <c r="E35" s="11">
        <v>1</v>
      </c>
      <c r="F35" s="11">
        <v>1</v>
      </c>
      <c r="G35" s="11">
        <v>93</v>
      </c>
      <c r="H35" s="13">
        <v>86</v>
      </c>
      <c r="I35" s="11"/>
    </row>
    <row r="36" spans="2:9" hidden="1" x14ac:dyDescent="0.25">
      <c r="B36">
        <v>1</v>
      </c>
      <c r="C36">
        <v>26</v>
      </c>
      <c r="D36" s="12">
        <f t="shared" si="0"/>
        <v>5</v>
      </c>
      <c r="E36" s="11">
        <v>1</v>
      </c>
      <c r="F36" s="11">
        <v>0</v>
      </c>
      <c r="G36" s="11">
        <v>99</v>
      </c>
      <c r="H36" s="13">
        <v>0</v>
      </c>
      <c r="I36" s="11"/>
    </row>
    <row r="37" spans="2:9" hidden="1" x14ac:dyDescent="0.25">
      <c r="B37">
        <v>1</v>
      </c>
      <c r="C37">
        <v>27</v>
      </c>
      <c r="D37" s="12">
        <f t="shared" si="0"/>
        <v>6</v>
      </c>
      <c r="E37" s="11">
        <v>0</v>
      </c>
      <c r="F37" s="11">
        <v>0</v>
      </c>
      <c r="G37" s="11">
        <v>0</v>
      </c>
      <c r="H37" s="13">
        <v>0</v>
      </c>
      <c r="I37" s="11"/>
    </row>
    <row r="38" spans="2:9" hidden="1" x14ac:dyDescent="0.25">
      <c r="B38">
        <v>1</v>
      </c>
      <c r="C38">
        <v>28</v>
      </c>
      <c r="D38" s="16">
        <f t="shared" si="0"/>
        <v>7</v>
      </c>
      <c r="E38" s="14">
        <v>0</v>
      </c>
      <c r="F38" s="14">
        <v>0</v>
      </c>
      <c r="G38" s="14">
        <v>0</v>
      </c>
      <c r="H38" s="15">
        <v>0</v>
      </c>
      <c r="I38" s="11"/>
    </row>
    <row r="39" spans="2:9" hidden="1" x14ac:dyDescent="0.25">
      <c r="B39">
        <v>1</v>
      </c>
      <c r="C39">
        <v>29</v>
      </c>
      <c r="D39" s="8">
        <f t="shared" si="0"/>
        <v>1</v>
      </c>
      <c r="E39" s="9">
        <v>1</v>
      </c>
      <c r="F39" s="9">
        <v>1</v>
      </c>
      <c r="G39" s="9">
        <v>65</v>
      </c>
      <c r="H39" s="10">
        <v>133</v>
      </c>
      <c r="I39" s="11"/>
    </row>
    <row r="40" spans="2:9" hidden="1" x14ac:dyDescent="0.25">
      <c r="B40">
        <v>1</v>
      </c>
      <c r="C40">
        <v>30</v>
      </c>
      <c r="D40" s="12">
        <f t="shared" si="0"/>
        <v>2</v>
      </c>
      <c r="E40" s="11">
        <v>1</v>
      </c>
      <c r="F40" s="11">
        <v>1</v>
      </c>
      <c r="G40" s="11">
        <v>79</v>
      </c>
      <c r="H40" s="13">
        <v>124</v>
      </c>
      <c r="I40" s="11"/>
    </row>
    <row r="41" spans="2:9" hidden="1" x14ac:dyDescent="0.25">
      <c r="B41">
        <v>1</v>
      </c>
      <c r="C41">
        <v>31</v>
      </c>
      <c r="D41" s="12">
        <f t="shared" si="0"/>
        <v>3</v>
      </c>
      <c r="E41" s="11">
        <v>1</v>
      </c>
      <c r="F41" s="11">
        <v>1</v>
      </c>
      <c r="G41" s="11">
        <v>90</v>
      </c>
      <c r="H41" s="13">
        <v>79</v>
      </c>
      <c r="I41" s="11"/>
    </row>
    <row r="42" spans="2:9" hidden="1" x14ac:dyDescent="0.25">
      <c r="B42">
        <v>1</v>
      </c>
      <c r="C42">
        <v>32</v>
      </c>
      <c r="D42" s="12">
        <f t="shared" si="0"/>
        <v>4</v>
      </c>
      <c r="E42" s="11">
        <v>1</v>
      </c>
      <c r="F42" s="11">
        <v>1</v>
      </c>
      <c r="G42" s="11">
        <v>105</v>
      </c>
      <c r="H42" s="13">
        <v>90</v>
      </c>
      <c r="I42" s="11"/>
    </row>
    <row r="43" spans="2:9" hidden="1" x14ac:dyDescent="0.25">
      <c r="B43">
        <v>1</v>
      </c>
      <c r="C43">
        <v>33</v>
      </c>
      <c r="D43" s="12">
        <f t="shared" si="0"/>
        <v>5</v>
      </c>
      <c r="E43" s="11">
        <v>1</v>
      </c>
      <c r="F43" s="11">
        <v>0</v>
      </c>
      <c r="G43" s="11">
        <v>99</v>
      </c>
      <c r="H43" s="13">
        <v>0</v>
      </c>
      <c r="I43" s="11"/>
    </row>
    <row r="44" spans="2:9" hidden="1" x14ac:dyDescent="0.25">
      <c r="B44">
        <v>1</v>
      </c>
      <c r="C44">
        <v>34</v>
      </c>
      <c r="D44" s="12">
        <f t="shared" si="0"/>
        <v>6</v>
      </c>
      <c r="E44" s="11">
        <v>0</v>
      </c>
      <c r="F44" s="11">
        <v>0</v>
      </c>
      <c r="G44" s="11">
        <v>0</v>
      </c>
      <c r="H44" s="13">
        <v>0</v>
      </c>
      <c r="I44" s="11"/>
    </row>
    <row r="45" spans="2:9" hidden="1" x14ac:dyDescent="0.25">
      <c r="B45">
        <v>1</v>
      </c>
      <c r="C45">
        <v>35</v>
      </c>
      <c r="D45" s="16">
        <f t="shared" si="0"/>
        <v>7</v>
      </c>
      <c r="E45" s="14">
        <v>0</v>
      </c>
      <c r="F45" s="14">
        <v>0</v>
      </c>
      <c r="G45" s="14">
        <v>0</v>
      </c>
      <c r="H45" s="15">
        <v>0</v>
      </c>
      <c r="I45" s="11"/>
    </row>
    <row r="46" spans="2:9" hidden="1" x14ac:dyDescent="0.25">
      <c r="B46">
        <v>1</v>
      </c>
      <c r="C46">
        <v>36</v>
      </c>
      <c r="D46" s="8">
        <f t="shared" si="0"/>
        <v>1</v>
      </c>
      <c r="E46" s="9">
        <v>1</v>
      </c>
      <c r="F46" s="9">
        <v>1</v>
      </c>
      <c r="G46" s="9">
        <v>137</v>
      </c>
      <c r="H46" s="10">
        <v>142</v>
      </c>
      <c r="I46" s="11"/>
    </row>
    <row r="47" spans="2:9" hidden="1" x14ac:dyDescent="0.25">
      <c r="B47">
        <v>1</v>
      </c>
      <c r="C47">
        <v>37</v>
      </c>
      <c r="D47" s="12">
        <f t="shared" si="0"/>
        <v>2</v>
      </c>
      <c r="E47" s="11">
        <v>1</v>
      </c>
      <c r="F47" s="11">
        <v>1</v>
      </c>
      <c r="G47" s="11">
        <v>105</v>
      </c>
      <c r="H47" s="13">
        <v>160</v>
      </c>
      <c r="I47" s="11"/>
    </row>
    <row r="48" spans="2:9" hidden="1" x14ac:dyDescent="0.25">
      <c r="B48">
        <v>1</v>
      </c>
      <c r="C48">
        <v>38</v>
      </c>
      <c r="D48" s="12">
        <f t="shared" si="0"/>
        <v>3</v>
      </c>
      <c r="E48" s="11">
        <v>1</v>
      </c>
      <c r="F48" s="11">
        <v>1</v>
      </c>
      <c r="G48" s="11">
        <v>106</v>
      </c>
      <c r="H48" s="13">
        <v>133</v>
      </c>
      <c r="I48" s="11"/>
    </row>
    <row r="49" spans="2:9" hidden="1" x14ac:dyDescent="0.25">
      <c r="B49">
        <v>1</v>
      </c>
      <c r="C49">
        <v>39</v>
      </c>
      <c r="D49" s="12">
        <f t="shared" si="0"/>
        <v>4</v>
      </c>
      <c r="E49" s="11">
        <v>1</v>
      </c>
      <c r="F49" s="11">
        <v>1</v>
      </c>
      <c r="G49" s="11">
        <v>84</v>
      </c>
      <c r="H49" s="13">
        <v>117</v>
      </c>
      <c r="I49" s="11"/>
    </row>
    <row r="50" spans="2:9" hidden="1" x14ac:dyDescent="0.25">
      <c r="B50">
        <v>1</v>
      </c>
      <c r="C50">
        <v>40</v>
      </c>
      <c r="D50" s="12">
        <f t="shared" si="0"/>
        <v>5</v>
      </c>
      <c r="E50" s="11">
        <v>1</v>
      </c>
      <c r="F50" s="11">
        <v>0</v>
      </c>
      <c r="G50" s="11">
        <v>122</v>
      </c>
      <c r="H50" s="13">
        <v>0</v>
      </c>
      <c r="I50" s="11"/>
    </row>
    <row r="51" spans="2:9" hidden="1" x14ac:dyDescent="0.25">
      <c r="B51">
        <v>1</v>
      </c>
      <c r="C51">
        <v>41</v>
      </c>
      <c r="D51" s="12">
        <f t="shared" si="0"/>
        <v>6</v>
      </c>
      <c r="E51" s="11">
        <v>0</v>
      </c>
      <c r="F51" s="11">
        <v>0</v>
      </c>
      <c r="G51" s="11">
        <v>0</v>
      </c>
      <c r="H51" s="13">
        <v>0</v>
      </c>
      <c r="I51" s="11"/>
    </row>
    <row r="52" spans="2:9" hidden="1" x14ac:dyDescent="0.25">
      <c r="B52">
        <v>1</v>
      </c>
      <c r="C52">
        <v>42</v>
      </c>
      <c r="D52" s="16">
        <f t="shared" si="0"/>
        <v>7</v>
      </c>
      <c r="E52" s="14">
        <v>0</v>
      </c>
      <c r="F52" s="14">
        <v>0</v>
      </c>
      <c r="G52" s="14">
        <v>0</v>
      </c>
      <c r="H52" s="15">
        <v>0</v>
      </c>
      <c r="I52" s="11"/>
    </row>
    <row r="53" spans="2:9" hidden="1" x14ac:dyDescent="0.25">
      <c r="B53">
        <v>2</v>
      </c>
      <c r="C53">
        <v>43</v>
      </c>
      <c r="D53" s="8">
        <f t="shared" si="0"/>
        <v>1</v>
      </c>
      <c r="E53" s="9">
        <v>1</v>
      </c>
      <c r="F53" s="9">
        <v>1</v>
      </c>
      <c r="G53" s="9">
        <v>136</v>
      </c>
      <c r="H53" s="10">
        <v>158</v>
      </c>
      <c r="I53" s="11"/>
    </row>
    <row r="54" spans="2:9" hidden="1" x14ac:dyDescent="0.25">
      <c r="B54">
        <v>2</v>
      </c>
      <c r="C54">
        <v>44</v>
      </c>
      <c r="D54" s="12">
        <f t="shared" si="0"/>
        <v>2</v>
      </c>
      <c r="E54" s="11">
        <v>1</v>
      </c>
      <c r="F54" s="11">
        <v>1</v>
      </c>
      <c r="G54" s="11">
        <v>18</v>
      </c>
      <c r="H54" s="13">
        <v>136</v>
      </c>
      <c r="I54" s="11"/>
    </row>
    <row r="55" spans="2:9" hidden="1" x14ac:dyDescent="0.25">
      <c r="B55">
        <v>2</v>
      </c>
      <c r="C55">
        <v>45</v>
      </c>
      <c r="D55" s="12">
        <f t="shared" si="0"/>
        <v>3</v>
      </c>
      <c r="E55" s="11">
        <v>1</v>
      </c>
      <c r="F55" s="11">
        <v>1</v>
      </c>
      <c r="G55" s="11">
        <v>38</v>
      </c>
      <c r="H55" s="13">
        <v>66</v>
      </c>
      <c r="I55" s="11"/>
    </row>
    <row r="56" spans="2:9" hidden="1" x14ac:dyDescent="0.25">
      <c r="B56">
        <v>2</v>
      </c>
      <c r="C56">
        <v>46</v>
      </c>
      <c r="D56" s="12">
        <f t="shared" si="0"/>
        <v>4</v>
      </c>
      <c r="E56" s="11">
        <v>1</v>
      </c>
      <c r="F56" s="11">
        <v>1</v>
      </c>
      <c r="G56" s="11">
        <v>141</v>
      </c>
      <c r="H56" s="13">
        <v>38</v>
      </c>
      <c r="I56" s="11"/>
    </row>
    <row r="57" spans="2:9" hidden="1" x14ac:dyDescent="0.25">
      <c r="B57">
        <v>2</v>
      </c>
      <c r="C57">
        <v>47</v>
      </c>
      <c r="D57" s="12">
        <f t="shared" si="0"/>
        <v>5</v>
      </c>
      <c r="E57" s="11">
        <v>1</v>
      </c>
      <c r="F57" s="11">
        <v>0</v>
      </c>
      <c r="G57" s="11">
        <v>121</v>
      </c>
      <c r="H57" s="13">
        <v>0</v>
      </c>
      <c r="I57" s="11"/>
    </row>
    <row r="58" spans="2:9" hidden="1" x14ac:dyDescent="0.25">
      <c r="B58">
        <v>2</v>
      </c>
      <c r="C58">
        <v>48</v>
      </c>
      <c r="D58" s="12">
        <f t="shared" si="0"/>
        <v>6</v>
      </c>
      <c r="E58" s="11">
        <v>0</v>
      </c>
      <c r="F58" s="11">
        <v>0</v>
      </c>
      <c r="G58" s="11">
        <v>0</v>
      </c>
      <c r="H58" s="13">
        <v>0</v>
      </c>
      <c r="I58" s="11"/>
    </row>
    <row r="59" spans="2:9" hidden="1" x14ac:dyDescent="0.25">
      <c r="B59">
        <v>2</v>
      </c>
      <c r="C59">
        <v>49</v>
      </c>
      <c r="D59" s="16">
        <f t="shared" si="0"/>
        <v>7</v>
      </c>
      <c r="E59" s="14">
        <v>0</v>
      </c>
      <c r="F59" s="14">
        <v>0</v>
      </c>
      <c r="G59" s="14">
        <v>0</v>
      </c>
      <c r="H59" s="15">
        <v>0</v>
      </c>
      <c r="I59" s="11"/>
    </row>
    <row r="60" spans="2:9" hidden="1" x14ac:dyDescent="0.25">
      <c r="B60">
        <v>2</v>
      </c>
      <c r="C60">
        <v>50</v>
      </c>
      <c r="D60" s="8">
        <f t="shared" si="0"/>
        <v>1</v>
      </c>
      <c r="E60" s="9">
        <v>1</v>
      </c>
      <c r="F60" s="9">
        <v>1</v>
      </c>
      <c r="G60" s="9">
        <v>93</v>
      </c>
      <c r="H60" s="10">
        <v>152</v>
      </c>
      <c r="I60" s="11"/>
    </row>
    <row r="61" spans="2:9" hidden="1" x14ac:dyDescent="0.25">
      <c r="B61">
        <v>2</v>
      </c>
      <c r="C61">
        <v>51</v>
      </c>
      <c r="D61" s="12">
        <f t="shared" si="0"/>
        <v>2</v>
      </c>
      <c r="E61" s="11">
        <v>1</v>
      </c>
      <c r="F61" s="11">
        <v>1</v>
      </c>
      <c r="G61" s="11">
        <v>77</v>
      </c>
      <c r="H61" s="13">
        <v>155</v>
      </c>
      <c r="I61" s="11"/>
    </row>
    <row r="62" spans="2:9" hidden="1" x14ac:dyDescent="0.25">
      <c r="B62">
        <v>2</v>
      </c>
      <c r="C62">
        <v>52</v>
      </c>
      <c r="D62" s="12">
        <f t="shared" si="0"/>
        <v>3</v>
      </c>
      <c r="E62" s="11">
        <v>1</v>
      </c>
      <c r="F62" s="11">
        <v>1</v>
      </c>
      <c r="G62" s="11">
        <v>126</v>
      </c>
      <c r="H62" s="13">
        <v>125</v>
      </c>
      <c r="I62" s="11"/>
    </row>
    <row r="63" spans="2:9" hidden="1" x14ac:dyDescent="0.25">
      <c r="B63">
        <v>2</v>
      </c>
      <c r="C63">
        <v>53</v>
      </c>
      <c r="D63" s="12">
        <f t="shared" si="0"/>
        <v>4</v>
      </c>
      <c r="E63" s="11">
        <v>1</v>
      </c>
      <c r="F63" s="11">
        <v>1</v>
      </c>
      <c r="G63" s="11">
        <v>129</v>
      </c>
      <c r="H63" s="13">
        <v>126</v>
      </c>
      <c r="I63" s="11"/>
    </row>
    <row r="64" spans="2:9" hidden="1" x14ac:dyDescent="0.25">
      <c r="B64">
        <v>2</v>
      </c>
      <c r="C64">
        <v>54</v>
      </c>
      <c r="D64" s="12">
        <f t="shared" si="0"/>
        <v>5</v>
      </c>
      <c r="E64" s="11">
        <v>1</v>
      </c>
      <c r="F64" s="11">
        <v>0</v>
      </c>
      <c r="G64" s="11">
        <v>102</v>
      </c>
      <c r="H64" s="13">
        <v>0</v>
      </c>
      <c r="I64" s="11"/>
    </row>
    <row r="65" spans="2:9" hidden="1" x14ac:dyDescent="0.25">
      <c r="B65">
        <v>2</v>
      </c>
      <c r="C65">
        <v>55</v>
      </c>
      <c r="D65" s="12">
        <f t="shared" si="0"/>
        <v>6</v>
      </c>
      <c r="E65" s="11">
        <v>0</v>
      </c>
      <c r="F65" s="11">
        <v>0</v>
      </c>
      <c r="G65" s="11">
        <v>0</v>
      </c>
      <c r="H65" s="13">
        <v>0</v>
      </c>
      <c r="I65" s="11"/>
    </row>
    <row r="66" spans="2:9" hidden="1" x14ac:dyDescent="0.25">
      <c r="B66">
        <v>2</v>
      </c>
      <c r="C66">
        <v>56</v>
      </c>
      <c r="D66" s="16">
        <f t="shared" si="0"/>
        <v>7</v>
      </c>
      <c r="E66" s="14">
        <v>0</v>
      </c>
      <c r="F66" s="14">
        <v>0</v>
      </c>
      <c r="G66" s="14">
        <v>0</v>
      </c>
      <c r="H66" s="15">
        <v>0</v>
      </c>
      <c r="I66" s="11"/>
    </row>
    <row r="67" spans="2:9" hidden="1" x14ac:dyDescent="0.25">
      <c r="B67">
        <v>2</v>
      </c>
      <c r="C67">
        <v>57</v>
      </c>
      <c r="D67" s="8">
        <f t="shared" si="0"/>
        <v>1</v>
      </c>
      <c r="E67" s="9">
        <v>1</v>
      </c>
      <c r="F67" s="9">
        <v>1</v>
      </c>
      <c r="G67" s="9">
        <v>126</v>
      </c>
      <c r="H67" s="10">
        <v>138</v>
      </c>
      <c r="I67" s="11"/>
    </row>
    <row r="68" spans="2:9" hidden="1" x14ac:dyDescent="0.25">
      <c r="B68">
        <v>2</v>
      </c>
      <c r="C68">
        <v>58</v>
      </c>
      <c r="D68" s="12">
        <f t="shared" si="0"/>
        <v>2</v>
      </c>
      <c r="E68" s="11">
        <v>1</v>
      </c>
      <c r="F68" s="11">
        <v>1</v>
      </c>
      <c r="G68" s="11">
        <v>92</v>
      </c>
      <c r="H68" s="13">
        <v>131</v>
      </c>
      <c r="I68" s="11"/>
    </row>
    <row r="69" spans="2:9" hidden="1" x14ac:dyDescent="0.25">
      <c r="B69">
        <v>2</v>
      </c>
      <c r="C69">
        <v>59</v>
      </c>
      <c r="D69" s="12">
        <f t="shared" si="0"/>
        <v>3</v>
      </c>
      <c r="E69" s="11">
        <v>1</v>
      </c>
      <c r="F69" s="11">
        <v>1</v>
      </c>
      <c r="G69" s="11">
        <v>120</v>
      </c>
      <c r="H69" s="13">
        <v>137</v>
      </c>
      <c r="I69" s="11"/>
    </row>
    <row r="70" spans="2:9" hidden="1" x14ac:dyDescent="0.25">
      <c r="B70">
        <v>2</v>
      </c>
      <c r="C70">
        <v>60</v>
      </c>
      <c r="D70" s="12">
        <f t="shared" si="0"/>
        <v>4</v>
      </c>
      <c r="E70" s="11">
        <v>1</v>
      </c>
      <c r="F70" s="11">
        <v>1</v>
      </c>
      <c r="G70" s="11">
        <v>135</v>
      </c>
      <c r="H70" s="13">
        <v>147</v>
      </c>
      <c r="I70" s="11"/>
    </row>
    <row r="71" spans="2:9" hidden="1" x14ac:dyDescent="0.25">
      <c r="B71">
        <v>2</v>
      </c>
      <c r="C71">
        <v>61</v>
      </c>
      <c r="D71" s="12">
        <f t="shared" si="0"/>
        <v>5</v>
      </c>
      <c r="E71" s="11">
        <v>1</v>
      </c>
      <c r="F71" s="11">
        <v>0</v>
      </c>
      <c r="G71" s="11">
        <v>111</v>
      </c>
      <c r="H71" s="13">
        <v>0</v>
      </c>
      <c r="I71" s="11"/>
    </row>
    <row r="72" spans="2:9" hidden="1" x14ac:dyDescent="0.25">
      <c r="B72">
        <v>2</v>
      </c>
      <c r="C72">
        <v>62</v>
      </c>
      <c r="D72" s="12">
        <f t="shared" si="0"/>
        <v>6</v>
      </c>
      <c r="E72" s="11">
        <v>0</v>
      </c>
      <c r="F72" s="11">
        <v>0</v>
      </c>
      <c r="G72" s="11">
        <v>0</v>
      </c>
      <c r="H72" s="13">
        <v>0</v>
      </c>
      <c r="I72" s="11"/>
    </row>
    <row r="73" spans="2:9" hidden="1" x14ac:dyDescent="0.25">
      <c r="B73">
        <v>2</v>
      </c>
      <c r="C73">
        <v>63</v>
      </c>
      <c r="D73" s="16">
        <f t="shared" si="0"/>
        <v>7</v>
      </c>
      <c r="E73" s="14">
        <v>0</v>
      </c>
      <c r="F73" s="14">
        <v>0</v>
      </c>
      <c r="G73" s="14">
        <v>0</v>
      </c>
      <c r="H73" s="15">
        <v>0</v>
      </c>
      <c r="I73" s="11"/>
    </row>
    <row r="74" spans="2:9" hidden="1" x14ac:dyDescent="0.25">
      <c r="B74">
        <v>2</v>
      </c>
      <c r="C74">
        <v>64</v>
      </c>
      <c r="D74" s="8">
        <f t="shared" si="0"/>
        <v>1</v>
      </c>
      <c r="E74" s="9">
        <v>1</v>
      </c>
      <c r="F74" s="9">
        <v>1</v>
      </c>
      <c r="G74" s="9">
        <v>162</v>
      </c>
      <c r="H74" s="10">
        <v>155</v>
      </c>
      <c r="I74" s="11"/>
    </row>
    <row r="75" spans="2:9" hidden="1" x14ac:dyDescent="0.25">
      <c r="B75">
        <v>2</v>
      </c>
      <c r="C75">
        <v>65</v>
      </c>
      <c r="D75" s="12">
        <f t="shared" si="0"/>
        <v>2</v>
      </c>
      <c r="E75" s="11">
        <v>1</v>
      </c>
      <c r="F75" s="11">
        <v>1</v>
      </c>
      <c r="G75" s="11">
        <v>162</v>
      </c>
      <c r="H75" s="13">
        <v>158</v>
      </c>
      <c r="I75" s="11"/>
    </row>
    <row r="76" spans="2:9" hidden="1" x14ac:dyDescent="0.25">
      <c r="B76">
        <v>2</v>
      </c>
      <c r="C76">
        <v>66</v>
      </c>
      <c r="D76" s="12">
        <f t="shared" si="0"/>
        <v>3</v>
      </c>
      <c r="E76" s="11">
        <v>1</v>
      </c>
      <c r="F76" s="11">
        <v>1</v>
      </c>
      <c r="G76" s="11">
        <v>179</v>
      </c>
      <c r="H76" s="13">
        <v>150</v>
      </c>
      <c r="I76" s="11"/>
    </row>
    <row r="77" spans="2:9" hidden="1" x14ac:dyDescent="0.25">
      <c r="B77">
        <v>2</v>
      </c>
      <c r="C77">
        <v>67</v>
      </c>
      <c r="D77" s="12">
        <f t="shared" si="0"/>
        <v>4</v>
      </c>
      <c r="E77" s="11">
        <v>1</v>
      </c>
      <c r="F77" s="11">
        <v>1</v>
      </c>
      <c r="G77" s="11">
        <v>175</v>
      </c>
      <c r="H77" s="13">
        <v>153</v>
      </c>
      <c r="I77" s="11"/>
    </row>
    <row r="78" spans="2:9" hidden="1" x14ac:dyDescent="0.25">
      <c r="B78">
        <v>2</v>
      </c>
      <c r="C78">
        <v>68</v>
      </c>
      <c r="D78" s="12">
        <f t="shared" si="0"/>
        <v>5</v>
      </c>
      <c r="E78" s="11">
        <v>1</v>
      </c>
      <c r="F78" s="11">
        <v>0</v>
      </c>
      <c r="G78" s="11">
        <v>148</v>
      </c>
      <c r="H78" s="13">
        <v>0</v>
      </c>
      <c r="I78" s="11"/>
    </row>
    <row r="79" spans="2:9" hidden="1" x14ac:dyDescent="0.25">
      <c r="B79">
        <v>2</v>
      </c>
      <c r="C79">
        <v>69</v>
      </c>
      <c r="D79" s="12">
        <f t="shared" si="0"/>
        <v>6</v>
      </c>
      <c r="E79" s="11">
        <v>0</v>
      </c>
      <c r="F79" s="11">
        <v>0</v>
      </c>
      <c r="G79" s="11">
        <v>0</v>
      </c>
      <c r="H79" s="13">
        <v>0</v>
      </c>
      <c r="I79" s="11"/>
    </row>
    <row r="80" spans="2:9" hidden="1" x14ac:dyDescent="0.25">
      <c r="B80">
        <v>2</v>
      </c>
      <c r="C80">
        <v>70</v>
      </c>
      <c r="D80" s="16">
        <f t="shared" si="0"/>
        <v>7</v>
      </c>
      <c r="E80" s="14">
        <v>0</v>
      </c>
      <c r="F80" s="14">
        <v>0</v>
      </c>
      <c r="G80" s="14">
        <v>0</v>
      </c>
      <c r="H80" s="15">
        <v>0</v>
      </c>
      <c r="I80" s="11"/>
    </row>
    <row r="81" spans="2:9" hidden="1" x14ac:dyDescent="0.25">
      <c r="B81">
        <v>2</v>
      </c>
      <c r="C81">
        <v>71</v>
      </c>
      <c r="D81" s="8">
        <f t="shared" si="0"/>
        <v>1</v>
      </c>
      <c r="E81" s="9">
        <v>1</v>
      </c>
      <c r="F81" s="9">
        <v>1</v>
      </c>
      <c r="G81" s="9">
        <v>180</v>
      </c>
      <c r="H81" s="10">
        <v>149</v>
      </c>
      <c r="I81" s="11"/>
    </row>
    <row r="82" spans="2:9" hidden="1" x14ac:dyDescent="0.25">
      <c r="B82">
        <v>2</v>
      </c>
      <c r="C82">
        <v>72</v>
      </c>
      <c r="D82" s="12">
        <f t="shared" si="0"/>
        <v>2</v>
      </c>
      <c r="E82" s="11">
        <v>1</v>
      </c>
      <c r="F82" s="11">
        <v>1</v>
      </c>
      <c r="G82" s="11">
        <v>162</v>
      </c>
      <c r="H82" s="13">
        <v>130</v>
      </c>
      <c r="I82" s="11"/>
    </row>
    <row r="83" spans="2:9" hidden="1" x14ac:dyDescent="0.25">
      <c r="B83">
        <v>2</v>
      </c>
      <c r="C83">
        <v>73</v>
      </c>
      <c r="D83" s="12">
        <f t="shared" ref="D83:D146" si="1">D76</f>
        <v>3</v>
      </c>
      <c r="E83" s="11">
        <v>1</v>
      </c>
      <c r="F83" s="11">
        <v>1</v>
      </c>
      <c r="G83" s="11">
        <v>120</v>
      </c>
      <c r="H83" s="13">
        <v>145</v>
      </c>
      <c r="I83" s="11"/>
    </row>
    <row r="84" spans="2:9" hidden="1" x14ac:dyDescent="0.25">
      <c r="B84">
        <v>2</v>
      </c>
      <c r="C84">
        <v>74</v>
      </c>
      <c r="D84" s="12">
        <f t="shared" si="1"/>
        <v>4</v>
      </c>
      <c r="E84" s="11">
        <v>1</v>
      </c>
      <c r="F84" s="11">
        <v>1</v>
      </c>
      <c r="G84" s="11">
        <v>158</v>
      </c>
      <c r="H84" s="13">
        <v>137</v>
      </c>
      <c r="I84" s="11"/>
    </row>
    <row r="85" spans="2:9" hidden="1" x14ac:dyDescent="0.25">
      <c r="B85">
        <v>2</v>
      </c>
      <c r="C85">
        <v>75</v>
      </c>
      <c r="D85" s="12">
        <f t="shared" si="1"/>
        <v>5</v>
      </c>
      <c r="E85" s="11">
        <v>1</v>
      </c>
      <c r="F85" s="11">
        <v>0</v>
      </c>
      <c r="G85" s="11">
        <v>125</v>
      </c>
      <c r="H85" s="13">
        <v>0</v>
      </c>
      <c r="I85" s="11"/>
    </row>
    <row r="86" spans="2:9" hidden="1" x14ac:dyDescent="0.25">
      <c r="B86">
        <v>2</v>
      </c>
      <c r="C86">
        <v>76</v>
      </c>
      <c r="D86" s="12">
        <f t="shared" si="1"/>
        <v>6</v>
      </c>
      <c r="E86" s="11">
        <v>0</v>
      </c>
      <c r="F86" s="11">
        <v>0</v>
      </c>
      <c r="G86" s="11">
        <v>0</v>
      </c>
      <c r="H86" s="13">
        <v>0</v>
      </c>
      <c r="I86" s="11"/>
    </row>
    <row r="87" spans="2:9" hidden="1" x14ac:dyDescent="0.25">
      <c r="B87">
        <v>2</v>
      </c>
      <c r="C87">
        <v>77</v>
      </c>
      <c r="D87" s="16">
        <f t="shared" si="1"/>
        <v>7</v>
      </c>
      <c r="E87" s="14">
        <v>0</v>
      </c>
      <c r="F87" s="14">
        <v>0</v>
      </c>
      <c r="G87" s="14">
        <v>0</v>
      </c>
      <c r="H87" s="15">
        <v>0</v>
      </c>
      <c r="I87" s="11"/>
    </row>
    <row r="88" spans="2:9" hidden="1" x14ac:dyDescent="0.25">
      <c r="B88">
        <v>2</v>
      </c>
      <c r="C88">
        <v>78</v>
      </c>
      <c r="D88" s="8">
        <f t="shared" si="1"/>
        <v>1</v>
      </c>
      <c r="E88" s="9">
        <v>1</v>
      </c>
      <c r="F88" s="9">
        <v>1</v>
      </c>
      <c r="G88" s="9">
        <v>146</v>
      </c>
      <c r="H88" s="10">
        <v>152</v>
      </c>
      <c r="I88" s="11"/>
    </row>
    <row r="89" spans="2:9" hidden="1" x14ac:dyDescent="0.25">
      <c r="B89">
        <v>2</v>
      </c>
      <c r="C89">
        <v>79</v>
      </c>
      <c r="D89" s="12">
        <f t="shared" si="1"/>
        <v>2</v>
      </c>
      <c r="E89" s="11">
        <v>1</v>
      </c>
      <c r="F89" s="11">
        <v>1</v>
      </c>
      <c r="G89" s="11">
        <v>170</v>
      </c>
      <c r="H89" s="13">
        <v>147</v>
      </c>
      <c r="I89" s="11"/>
    </row>
    <row r="90" spans="2:9" hidden="1" x14ac:dyDescent="0.25">
      <c r="B90">
        <v>2</v>
      </c>
      <c r="C90">
        <v>80</v>
      </c>
      <c r="D90" s="12">
        <f t="shared" si="1"/>
        <v>3</v>
      </c>
      <c r="E90" s="11">
        <v>1</v>
      </c>
      <c r="F90" s="11">
        <v>1</v>
      </c>
      <c r="G90" s="11">
        <v>155</v>
      </c>
      <c r="H90" s="13">
        <v>147</v>
      </c>
      <c r="I90" s="11"/>
    </row>
    <row r="91" spans="2:9" hidden="1" x14ac:dyDescent="0.25">
      <c r="B91">
        <v>2</v>
      </c>
      <c r="C91">
        <v>81</v>
      </c>
      <c r="D91" s="12">
        <f t="shared" si="1"/>
        <v>4</v>
      </c>
      <c r="E91" s="11">
        <v>1</v>
      </c>
      <c r="F91" s="11">
        <v>1</v>
      </c>
      <c r="G91" s="11">
        <v>144</v>
      </c>
      <c r="H91" s="13">
        <v>145</v>
      </c>
      <c r="I91" s="11"/>
    </row>
    <row r="92" spans="2:9" hidden="1" x14ac:dyDescent="0.25">
      <c r="B92">
        <v>2</v>
      </c>
      <c r="C92">
        <v>82</v>
      </c>
      <c r="D92" s="12">
        <f t="shared" si="1"/>
        <v>5</v>
      </c>
      <c r="E92" s="11">
        <v>1</v>
      </c>
      <c r="F92" s="11">
        <v>0</v>
      </c>
      <c r="G92" s="11">
        <v>158</v>
      </c>
      <c r="H92" s="13">
        <v>0</v>
      </c>
      <c r="I92" s="11"/>
    </row>
    <row r="93" spans="2:9" hidden="1" x14ac:dyDescent="0.25">
      <c r="B93">
        <v>2</v>
      </c>
      <c r="C93">
        <v>83</v>
      </c>
      <c r="D93" s="12">
        <f t="shared" si="1"/>
        <v>6</v>
      </c>
      <c r="E93" s="11">
        <v>0</v>
      </c>
      <c r="F93" s="11">
        <v>0</v>
      </c>
      <c r="G93" s="11">
        <v>0</v>
      </c>
      <c r="H93" s="13">
        <v>0</v>
      </c>
      <c r="I93" s="11"/>
    </row>
    <row r="94" spans="2:9" hidden="1" x14ac:dyDescent="0.25">
      <c r="B94">
        <v>2</v>
      </c>
      <c r="C94">
        <v>84</v>
      </c>
      <c r="D94" s="16">
        <f t="shared" si="1"/>
        <v>7</v>
      </c>
      <c r="E94" s="14">
        <v>0</v>
      </c>
      <c r="F94" s="14">
        <v>0</v>
      </c>
      <c r="G94" s="14">
        <v>0</v>
      </c>
      <c r="H94" s="15">
        <v>0</v>
      </c>
      <c r="I94" s="11"/>
    </row>
    <row r="95" spans="2:9" hidden="1" x14ac:dyDescent="0.25">
      <c r="B95">
        <v>3</v>
      </c>
      <c r="C95">
        <v>85</v>
      </c>
      <c r="D95" s="8">
        <f t="shared" si="1"/>
        <v>1</v>
      </c>
      <c r="E95" s="9">
        <v>1</v>
      </c>
      <c r="F95" s="9">
        <v>1</v>
      </c>
      <c r="G95" s="9">
        <v>135</v>
      </c>
      <c r="H95" s="10">
        <v>132</v>
      </c>
      <c r="I95" s="11"/>
    </row>
    <row r="96" spans="2:9" hidden="1" x14ac:dyDescent="0.25">
      <c r="B96">
        <v>3</v>
      </c>
      <c r="C96">
        <v>86</v>
      </c>
      <c r="D96" s="12">
        <f t="shared" si="1"/>
        <v>2</v>
      </c>
      <c r="E96" s="11">
        <v>1</v>
      </c>
      <c r="F96" s="11">
        <v>1</v>
      </c>
      <c r="G96" s="11">
        <v>142</v>
      </c>
      <c r="H96" s="13">
        <v>139</v>
      </c>
      <c r="I96" s="11"/>
    </row>
    <row r="97" spans="2:9" hidden="1" x14ac:dyDescent="0.25">
      <c r="B97">
        <v>3</v>
      </c>
      <c r="C97">
        <v>87</v>
      </c>
      <c r="D97" s="12">
        <f t="shared" si="1"/>
        <v>3</v>
      </c>
      <c r="E97" s="11">
        <v>1</v>
      </c>
      <c r="F97" s="11">
        <v>1</v>
      </c>
      <c r="G97" s="11">
        <v>124</v>
      </c>
      <c r="H97" s="13">
        <v>157</v>
      </c>
      <c r="I97" s="11"/>
    </row>
    <row r="98" spans="2:9" hidden="1" x14ac:dyDescent="0.25">
      <c r="B98">
        <v>3</v>
      </c>
      <c r="C98">
        <v>88</v>
      </c>
      <c r="D98" s="12">
        <f t="shared" si="1"/>
        <v>4</v>
      </c>
      <c r="E98" s="11">
        <v>1</v>
      </c>
      <c r="F98" s="11">
        <v>1</v>
      </c>
      <c r="G98" s="11">
        <v>134</v>
      </c>
      <c r="H98" s="13">
        <v>140</v>
      </c>
      <c r="I98" s="11"/>
    </row>
    <row r="99" spans="2:9" hidden="1" x14ac:dyDescent="0.25">
      <c r="B99">
        <v>3</v>
      </c>
      <c r="C99">
        <v>89</v>
      </c>
      <c r="D99" s="12">
        <f t="shared" si="1"/>
        <v>5</v>
      </c>
      <c r="E99" s="11">
        <v>1</v>
      </c>
      <c r="F99" s="11">
        <v>1</v>
      </c>
      <c r="G99" s="11">
        <v>174</v>
      </c>
      <c r="H99" s="13">
        <v>150</v>
      </c>
      <c r="I99" s="11"/>
    </row>
    <row r="100" spans="2:9" hidden="1" x14ac:dyDescent="0.25">
      <c r="B100">
        <v>3</v>
      </c>
      <c r="C100">
        <v>90</v>
      </c>
      <c r="D100" s="12">
        <f t="shared" si="1"/>
        <v>6</v>
      </c>
      <c r="E100" s="11">
        <v>0</v>
      </c>
      <c r="F100" s="11">
        <v>0</v>
      </c>
      <c r="G100" s="11">
        <v>0</v>
      </c>
      <c r="H100" s="13">
        <v>0</v>
      </c>
      <c r="I100" s="11"/>
    </row>
    <row r="101" spans="2:9" hidden="1" x14ac:dyDescent="0.25">
      <c r="B101">
        <v>3</v>
      </c>
      <c r="C101">
        <v>91</v>
      </c>
      <c r="D101" s="16">
        <f t="shared" si="1"/>
        <v>7</v>
      </c>
      <c r="E101" s="14">
        <v>0</v>
      </c>
      <c r="F101" s="14">
        <v>0</v>
      </c>
      <c r="G101" s="14">
        <v>0</v>
      </c>
      <c r="H101" s="15">
        <v>0</v>
      </c>
      <c r="I101" s="11"/>
    </row>
    <row r="102" spans="2:9" hidden="1" x14ac:dyDescent="0.25">
      <c r="B102">
        <v>3</v>
      </c>
      <c r="C102">
        <v>92</v>
      </c>
      <c r="D102" s="8">
        <f t="shared" si="1"/>
        <v>1</v>
      </c>
      <c r="E102" s="9">
        <v>1</v>
      </c>
      <c r="F102" s="9">
        <v>1</v>
      </c>
      <c r="G102" s="9">
        <v>142</v>
      </c>
      <c r="H102" s="10">
        <v>131</v>
      </c>
      <c r="I102" s="11"/>
    </row>
    <row r="103" spans="2:9" hidden="1" x14ac:dyDescent="0.25">
      <c r="B103">
        <v>3</v>
      </c>
      <c r="C103">
        <v>93</v>
      </c>
      <c r="D103" s="12">
        <f t="shared" si="1"/>
        <v>2</v>
      </c>
      <c r="E103" s="11">
        <v>1</v>
      </c>
      <c r="F103" s="11">
        <v>1</v>
      </c>
      <c r="G103" s="11">
        <v>147</v>
      </c>
      <c r="H103" s="13">
        <v>158</v>
      </c>
      <c r="I103" s="11"/>
    </row>
    <row r="104" spans="2:9" hidden="1" x14ac:dyDescent="0.25">
      <c r="B104">
        <v>3</v>
      </c>
      <c r="C104">
        <v>94</v>
      </c>
      <c r="D104" s="12">
        <f t="shared" si="1"/>
        <v>3</v>
      </c>
      <c r="E104" s="11">
        <v>1</v>
      </c>
      <c r="F104" s="11">
        <v>1</v>
      </c>
      <c r="G104" s="11">
        <v>176</v>
      </c>
      <c r="H104" s="13">
        <v>147</v>
      </c>
      <c r="I104" s="11"/>
    </row>
    <row r="105" spans="2:9" hidden="1" x14ac:dyDescent="0.25">
      <c r="B105">
        <v>3</v>
      </c>
      <c r="C105">
        <v>95</v>
      </c>
      <c r="D105" s="12">
        <f t="shared" si="1"/>
        <v>4</v>
      </c>
      <c r="E105" s="11">
        <v>1</v>
      </c>
      <c r="F105" s="11">
        <v>1</v>
      </c>
      <c r="G105" s="11">
        <v>127</v>
      </c>
      <c r="H105" s="13">
        <v>142</v>
      </c>
      <c r="I105" s="11"/>
    </row>
    <row r="106" spans="2:9" hidden="1" x14ac:dyDescent="0.25">
      <c r="B106">
        <v>3</v>
      </c>
      <c r="C106">
        <v>96</v>
      </c>
      <c r="D106" s="12">
        <f t="shared" si="1"/>
        <v>5</v>
      </c>
      <c r="E106" s="11">
        <v>1</v>
      </c>
      <c r="F106" s="11">
        <v>1</v>
      </c>
      <c r="G106" s="11">
        <v>138</v>
      </c>
      <c r="H106" s="13">
        <v>149</v>
      </c>
      <c r="I106" s="11"/>
    </row>
    <row r="107" spans="2:9" hidden="1" x14ac:dyDescent="0.25">
      <c r="B107">
        <v>3</v>
      </c>
      <c r="C107">
        <v>97</v>
      </c>
      <c r="D107" s="12">
        <f t="shared" si="1"/>
        <v>6</v>
      </c>
      <c r="E107" s="11">
        <v>0</v>
      </c>
      <c r="F107" s="11">
        <v>0</v>
      </c>
      <c r="G107" s="11">
        <v>0</v>
      </c>
      <c r="H107" s="13">
        <v>0</v>
      </c>
      <c r="I107" s="11"/>
    </row>
    <row r="108" spans="2:9" hidden="1" x14ac:dyDescent="0.25">
      <c r="B108">
        <v>3</v>
      </c>
      <c r="C108">
        <v>98</v>
      </c>
      <c r="D108" s="16">
        <f t="shared" si="1"/>
        <v>7</v>
      </c>
      <c r="E108" s="14">
        <v>0</v>
      </c>
      <c r="F108" s="14">
        <v>0</v>
      </c>
      <c r="G108" s="14">
        <v>0</v>
      </c>
      <c r="H108" s="15">
        <v>0</v>
      </c>
      <c r="I108" s="11"/>
    </row>
    <row r="109" spans="2:9" hidden="1" x14ac:dyDescent="0.25">
      <c r="B109">
        <v>3</v>
      </c>
      <c r="C109">
        <v>99</v>
      </c>
      <c r="D109" s="8">
        <f t="shared" si="1"/>
        <v>1</v>
      </c>
      <c r="E109" s="9">
        <v>1</v>
      </c>
      <c r="F109" s="9">
        <v>1</v>
      </c>
      <c r="G109" s="9">
        <v>189</v>
      </c>
      <c r="H109" s="10">
        <v>146</v>
      </c>
      <c r="I109" s="11"/>
    </row>
    <row r="110" spans="2:9" hidden="1" x14ac:dyDescent="0.25">
      <c r="B110">
        <v>3</v>
      </c>
      <c r="C110">
        <v>100</v>
      </c>
      <c r="D110" s="12">
        <f t="shared" si="1"/>
        <v>2</v>
      </c>
      <c r="E110" s="11">
        <v>1</v>
      </c>
      <c r="F110" s="11">
        <v>1</v>
      </c>
      <c r="G110" s="11">
        <v>166</v>
      </c>
      <c r="H110" s="13">
        <v>157</v>
      </c>
      <c r="I110" s="11"/>
    </row>
    <row r="111" spans="2:9" hidden="1" x14ac:dyDescent="0.25">
      <c r="B111">
        <v>3</v>
      </c>
      <c r="C111">
        <v>101</v>
      </c>
      <c r="D111" s="12">
        <f t="shared" si="1"/>
        <v>3</v>
      </c>
      <c r="E111" s="11">
        <v>1</v>
      </c>
      <c r="F111" s="11">
        <v>1</v>
      </c>
      <c r="G111" s="11">
        <v>137</v>
      </c>
      <c r="H111" s="13">
        <v>159</v>
      </c>
      <c r="I111" s="11"/>
    </row>
    <row r="112" spans="2:9" hidden="1" x14ac:dyDescent="0.25">
      <c r="B112">
        <v>3</v>
      </c>
      <c r="C112">
        <v>102</v>
      </c>
      <c r="D112" s="12">
        <f t="shared" si="1"/>
        <v>4</v>
      </c>
      <c r="E112" s="11">
        <v>1</v>
      </c>
      <c r="F112" s="11">
        <v>1</v>
      </c>
      <c r="G112" s="11">
        <v>196</v>
      </c>
      <c r="H112" s="13">
        <v>130</v>
      </c>
      <c r="I112" s="11"/>
    </row>
    <row r="113" spans="2:9" hidden="1" x14ac:dyDescent="0.25">
      <c r="B113">
        <v>3</v>
      </c>
      <c r="C113">
        <v>103</v>
      </c>
      <c r="D113" s="12">
        <f t="shared" si="1"/>
        <v>5</v>
      </c>
      <c r="E113" s="11">
        <v>1</v>
      </c>
      <c r="F113" s="11">
        <v>1</v>
      </c>
      <c r="G113" s="11">
        <v>128</v>
      </c>
      <c r="H113" s="13">
        <v>132</v>
      </c>
      <c r="I113" s="11"/>
    </row>
    <row r="114" spans="2:9" hidden="1" x14ac:dyDescent="0.25">
      <c r="B114">
        <v>3</v>
      </c>
      <c r="C114">
        <v>104</v>
      </c>
      <c r="D114" s="12">
        <f t="shared" si="1"/>
        <v>6</v>
      </c>
      <c r="E114" s="11">
        <v>0</v>
      </c>
      <c r="F114" s="11">
        <v>0</v>
      </c>
      <c r="G114" s="11">
        <v>0</v>
      </c>
      <c r="H114" s="13">
        <v>0</v>
      </c>
      <c r="I114" s="11"/>
    </row>
    <row r="115" spans="2:9" hidden="1" x14ac:dyDescent="0.25">
      <c r="B115">
        <v>3</v>
      </c>
      <c r="C115">
        <v>105</v>
      </c>
      <c r="D115" s="16">
        <f t="shared" si="1"/>
        <v>7</v>
      </c>
      <c r="E115" s="14">
        <v>0</v>
      </c>
      <c r="F115" s="14">
        <v>0</v>
      </c>
      <c r="G115" s="14">
        <v>0</v>
      </c>
      <c r="H115" s="15">
        <v>0</v>
      </c>
      <c r="I115" s="11"/>
    </row>
    <row r="116" spans="2:9" hidden="1" x14ac:dyDescent="0.25">
      <c r="B116">
        <v>3</v>
      </c>
      <c r="C116">
        <v>106</v>
      </c>
      <c r="D116" s="8">
        <f t="shared" si="1"/>
        <v>1</v>
      </c>
      <c r="E116" s="9">
        <v>1</v>
      </c>
      <c r="F116" s="9">
        <v>1</v>
      </c>
      <c r="G116" s="9">
        <v>17</v>
      </c>
      <c r="H116" s="10">
        <v>140</v>
      </c>
      <c r="I116" s="11"/>
    </row>
    <row r="117" spans="2:9" hidden="1" x14ac:dyDescent="0.25">
      <c r="B117">
        <v>3</v>
      </c>
      <c r="C117">
        <v>107</v>
      </c>
      <c r="D117" s="12">
        <f t="shared" si="1"/>
        <v>2</v>
      </c>
      <c r="E117" s="11">
        <v>1</v>
      </c>
      <c r="F117" s="11">
        <v>1</v>
      </c>
      <c r="G117" s="11">
        <v>174</v>
      </c>
      <c r="H117" s="13">
        <v>146</v>
      </c>
      <c r="I117" s="11"/>
    </row>
    <row r="118" spans="2:9" hidden="1" x14ac:dyDescent="0.25">
      <c r="B118">
        <v>3</v>
      </c>
      <c r="C118">
        <v>108</v>
      </c>
      <c r="D118" s="12">
        <f t="shared" si="1"/>
        <v>3</v>
      </c>
      <c r="E118" s="11">
        <v>1</v>
      </c>
      <c r="F118" s="11">
        <v>1</v>
      </c>
      <c r="G118" s="11">
        <v>187</v>
      </c>
      <c r="H118" s="13">
        <v>159</v>
      </c>
      <c r="I118" s="11"/>
    </row>
    <row r="119" spans="2:9" hidden="1" x14ac:dyDescent="0.25">
      <c r="B119">
        <v>3</v>
      </c>
      <c r="C119">
        <v>109</v>
      </c>
      <c r="D119" s="12">
        <f t="shared" si="1"/>
        <v>4</v>
      </c>
      <c r="E119" s="11">
        <v>1</v>
      </c>
      <c r="F119" s="11">
        <v>1</v>
      </c>
      <c r="G119" s="11">
        <v>142</v>
      </c>
      <c r="H119" s="13">
        <v>152</v>
      </c>
      <c r="I119" s="11"/>
    </row>
    <row r="120" spans="2:9" hidden="1" x14ac:dyDescent="0.25">
      <c r="B120">
        <v>3</v>
      </c>
      <c r="C120">
        <v>110</v>
      </c>
      <c r="D120" s="12">
        <f t="shared" si="1"/>
        <v>5</v>
      </c>
      <c r="E120" s="11">
        <v>1</v>
      </c>
      <c r="F120" s="11">
        <v>1</v>
      </c>
      <c r="G120" s="11">
        <v>121</v>
      </c>
      <c r="H120" s="13">
        <v>130</v>
      </c>
      <c r="I120" s="11"/>
    </row>
    <row r="121" spans="2:9" hidden="1" x14ac:dyDescent="0.25">
      <c r="B121">
        <v>3</v>
      </c>
      <c r="C121">
        <v>111</v>
      </c>
      <c r="D121" s="12">
        <f t="shared" si="1"/>
        <v>6</v>
      </c>
      <c r="E121" s="11">
        <v>0</v>
      </c>
      <c r="F121" s="11">
        <v>0</v>
      </c>
      <c r="G121" s="11">
        <v>0</v>
      </c>
      <c r="H121" s="13">
        <v>0</v>
      </c>
      <c r="I121" s="11"/>
    </row>
    <row r="122" spans="2:9" hidden="1" x14ac:dyDescent="0.25">
      <c r="B122">
        <v>3</v>
      </c>
      <c r="C122">
        <v>112</v>
      </c>
      <c r="D122" s="16">
        <f t="shared" si="1"/>
        <v>7</v>
      </c>
      <c r="E122" s="14">
        <v>0</v>
      </c>
      <c r="F122" s="14">
        <v>0</v>
      </c>
      <c r="G122" s="14">
        <v>0</v>
      </c>
      <c r="H122" s="15">
        <v>0</v>
      </c>
      <c r="I122" s="11"/>
    </row>
    <row r="123" spans="2:9" hidden="1" x14ac:dyDescent="0.25">
      <c r="B123">
        <v>3</v>
      </c>
      <c r="C123">
        <v>113</v>
      </c>
      <c r="D123" s="8">
        <f t="shared" si="1"/>
        <v>1</v>
      </c>
      <c r="E123" s="9">
        <v>1</v>
      </c>
      <c r="F123" s="9">
        <v>1</v>
      </c>
      <c r="G123" s="9">
        <v>130</v>
      </c>
      <c r="H123" s="10">
        <v>136</v>
      </c>
      <c r="I123" s="11"/>
    </row>
    <row r="124" spans="2:9" hidden="1" x14ac:dyDescent="0.25">
      <c r="B124">
        <v>3</v>
      </c>
      <c r="C124">
        <v>114</v>
      </c>
      <c r="D124" s="12">
        <f t="shared" si="1"/>
        <v>2</v>
      </c>
      <c r="E124" s="11">
        <v>1</v>
      </c>
      <c r="F124" s="11">
        <v>1</v>
      </c>
      <c r="G124" s="11">
        <v>184</v>
      </c>
      <c r="H124" s="13">
        <v>153</v>
      </c>
      <c r="I124" s="11"/>
    </row>
    <row r="125" spans="2:9" hidden="1" x14ac:dyDescent="0.25">
      <c r="B125">
        <v>3</v>
      </c>
      <c r="C125">
        <v>115</v>
      </c>
      <c r="D125" s="12">
        <f t="shared" si="1"/>
        <v>3</v>
      </c>
      <c r="E125" s="11">
        <v>1</v>
      </c>
      <c r="F125" s="11">
        <v>1</v>
      </c>
      <c r="G125" s="11">
        <v>179</v>
      </c>
      <c r="H125" s="13">
        <v>150</v>
      </c>
      <c r="I125" s="11"/>
    </row>
    <row r="126" spans="2:9" hidden="1" x14ac:dyDescent="0.25">
      <c r="B126">
        <v>3</v>
      </c>
      <c r="C126">
        <v>116</v>
      </c>
      <c r="D126" s="12">
        <f t="shared" si="1"/>
        <v>4</v>
      </c>
      <c r="E126" s="11">
        <v>1</v>
      </c>
      <c r="F126" s="11">
        <v>1</v>
      </c>
      <c r="G126" s="11">
        <v>174</v>
      </c>
      <c r="H126" s="13">
        <v>137</v>
      </c>
      <c r="I126" s="11"/>
    </row>
    <row r="127" spans="2:9" hidden="1" x14ac:dyDescent="0.25">
      <c r="B127">
        <v>3</v>
      </c>
      <c r="C127">
        <v>117</v>
      </c>
      <c r="D127" s="12">
        <f t="shared" si="1"/>
        <v>5</v>
      </c>
      <c r="E127" s="11">
        <v>1</v>
      </c>
      <c r="F127" s="11">
        <v>1</v>
      </c>
      <c r="G127" s="11">
        <v>138</v>
      </c>
      <c r="H127" s="13">
        <v>136</v>
      </c>
      <c r="I127" s="11"/>
    </row>
    <row r="128" spans="2:9" hidden="1" x14ac:dyDescent="0.25">
      <c r="B128">
        <v>3</v>
      </c>
      <c r="C128">
        <v>118</v>
      </c>
      <c r="D128" s="12">
        <f t="shared" si="1"/>
        <v>6</v>
      </c>
      <c r="E128" s="11">
        <v>0</v>
      </c>
      <c r="F128" s="11">
        <v>0</v>
      </c>
      <c r="G128" s="11">
        <v>0</v>
      </c>
      <c r="H128" s="13">
        <v>0</v>
      </c>
      <c r="I128" s="11"/>
    </row>
    <row r="129" spans="2:9" hidden="1" x14ac:dyDescent="0.25">
      <c r="B129">
        <v>3</v>
      </c>
      <c r="C129">
        <v>119</v>
      </c>
      <c r="D129" s="16">
        <f t="shared" si="1"/>
        <v>7</v>
      </c>
      <c r="E129" s="14">
        <v>0</v>
      </c>
      <c r="F129" s="14">
        <v>0</v>
      </c>
      <c r="G129" s="14">
        <v>0</v>
      </c>
      <c r="H129" s="15">
        <v>0</v>
      </c>
      <c r="I129" s="11"/>
    </row>
    <row r="130" spans="2:9" hidden="1" x14ac:dyDescent="0.25">
      <c r="B130">
        <v>3</v>
      </c>
      <c r="C130">
        <v>120</v>
      </c>
      <c r="D130" s="8">
        <f t="shared" si="1"/>
        <v>1</v>
      </c>
      <c r="E130" s="9">
        <v>1</v>
      </c>
      <c r="F130" s="9">
        <v>1</v>
      </c>
      <c r="G130" s="9">
        <v>153</v>
      </c>
      <c r="H130" s="10">
        <v>140</v>
      </c>
      <c r="I130" s="11"/>
    </row>
    <row r="131" spans="2:9" hidden="1" x14ac:dyDescent="0.25">
      <c r="B131">
        <v>3</v>
      </c>
      <c r="C131">
        <v>121</v>
      </c>
      <c r="D131" s="12">
        <f t="shared" si="1"/>
        <v>2</v>
      </c>
      <c r="E131" s="11">
        <v>1</v>
      </c>
      <c r="F131" s="11">
        <v>1</v>
      </c>
      <c r="G131" s="11">
        <v>140</v>
      </c>
      <c r="H131" s="13">
        <v>145</v>
      </c>
      <c r="I131" s="11"/>
    </row>
    <row r="132" spans="2:9" hidden="1" x14ac:dyDescent="0.25">
      <c r="B132">
        <v>3</v>
      </c>
      <c r="C132">
        <v>122</v>
      </c>
      <c r="D132" s="12">
        <f t="shared" si="1"/>
        <v>3</v>
      </c>
      <c r="E132" s="11">
        <v>1</v>
      </c>
      <c r="F132" s="11">
        <v>1</v>
      </c>
      <c r="G132" s="11">
        <v>160</v>
      </c>
      <c r="H132" s="13">
        <v>150</v>
      </c>
      <c r="I132" s="11"/>
    </row>
    <row r="133" spans="2:9" hidden="1" x14ac:dyDescent="0.25">
      <c r="B133">
        <v>3</v>
      </c>
      <c r="C133">
        <v>123</v>
      </c>
      <c r="D133" s="12">
        <f t="shared" si="1"/>
        <v>4</v>
      </c>
      <c r="E133" s="11">
        <v>1</v>
      </c>
      <c r="F133" s="11">
        <v>1</v>
      </c>
      <c r="G133" s="11">
        <v>130</v>
      </c>
      <c r="H133" s="13">
        <v>134</v>
      </c>
      <c r="I133" s="11"/>
    </row>
    <row r="134" spans="2:9" hidden="1" x14ac:dyDescent="0.25">
      <c r="B134">
        <v>3</v>
      </c>
      <c r="C134">
        <v>124</v>
      </c>
      <c r="D134" s="12">
        <f t="shared" si="1"/>
        <v>5</v>
      </c>
      <c r="E134" s="11">
        <v>1</v>
      </c>
      <c r="F134" s="11">
        <v>1</v>
      </c>
      <c r="G134" s="11">
        <v>189</v>
      </c>
      <c r="H134" s="13">
        <v>136</v>
      </c>
      <c r="I134" s="11"/>
    </row>
    <row r="135" spans="2:9" hidden="1" x14ac:dyDescent="0.25">
      <c r="B135">
        <v>3</v>
      </c>
      <c r="C135">
        <v>125</v>
      </c>
      <c r="D135" s="12">
        <f t="shared" si="1"/>
        <v>6</v>
      </c>
      <c r="E135" s="11">
        <v>0</v>
      </c>
      <c r="F135" s="11">
        <v>0</v>
      </c>
      <c r="G135" s="11">
        <v>0</v>
      </c>
      <c r="H135" s="13">
        <v>0</v>
      </c>
      <c r="I135" s="11"/>
    </row>
    <row r="136" spans="2:9" hidden="1" x14ac:dyDescent="0.25">
      <c r="B136">
        <v>3</v>
      </c>
      <c r="C136">
        <v>126</v>
      </c>
      <c r="D136" s="16">
        <f t="shared" si="1"/>
        <v>7</v>
      </c>
      <c r="E136" s="14">
        <v>0</v>
      </c>
      <c r="F136" s="14">
        <v>0</v>
      </c>
      <c r="G136" s="14">
        <v>0</v>
      </c>
      <c r="H136" s="15">
        <v>0</v>
      </c>
      <c r="I136" s="11"/>
    </row>
    <row r="137" spans="2:9" hidden="1" x14ac:dyDescent="0.25">
      <c r="B137">
        <v>4</v>
      </c>
      <c r="C137">
        <v>127</v>
      </c>
      <c r="D137" s="8">
        <f t="shared" si="1"/>
        <v>1</v>
      </c>
      <c r="E137" s="9">
        <v>1</v>
      </c>
      <c r="F137" s="9">
        <v>1</v>
      </c>
      <c r="G137" s="9">
        <v>151</v>
      </c>
      <c r="H137" s="10">
        <v>139</v>
      </c>
      <c r="I137" s="11"/>
    </row>
    <row r="138" spans="2:9" hidden="1" x14ac:dyDescent="0.25">
      <c r="B138">
        <v>4</v>
      </c>
      <c r="C138">
        <v>128</v>
      </c>
      <c r="D138" s="12">
        <f t="shared" si="1"/>
        <v>2</v>
      </c>
      <c r="E138" s="11">
        <v>1</v>
      </c>
      <c r="F138" s="11">
        <v>1</v>
      </c>
      <c r="G138" s="11">
        <v>132</v>
      </c>
      <c r="H138" s="13">
        <v>138</v>
      </c>
      <c r="I138" s="11"/>
    </row>
    <row r="139" spans="2:9" hidden="1" x14ac:dyDescent="0.25">
      <c r="B139">
        <v>4</v>
      </c>
      <c r="C139">
        <v>129</v>
      </c>
      <c r="D139" s="12">
        <f t="shared" si="1"/>
        <v>3</v>
      </c>
      <c r="E139" s="11">
        <v>1</v>
      </c>
      <c r="F139" s="11">
        <v>1</v>
      </c>
      <c r="G139" s="11">
        <v>19</v>
      </c>
      <c r="H139" s="13">
        <v>160</v>
      </c>
      <c r="I139" s="11"/>
    </row>
    <row r="140" spans="2:9" hidden="1" x14ac:dyDescent="0.25">
      <c r="B140">
        <v>4</v>
      </c>
      <c r="C140">
        <v>130</v>
      </c>
      <c r="D140" s="12">
        <f t="shared" si="1"/>
        <v>4</v>
      </c>
      <c r="E140" s="11">
        <v>1</v>
      </c>
      <c r="F140" s="11">
        <v>1</v>
      </c>
      <c r="G140" s="11">
        <v>173</v>
      </c>
      <c r="H140" s="13">
        <v>143</v>
      </c>
      <c r="I140" s="11"/>
    </row>
    <row r="141" spans="2:9" hidden="1" x14ac:dyDescent="0.25">
      <c r="B141">
        <v>4</v>
      </c>
      <c r="C141">
        <v>131</v>
      </c>
      <c r="D141" s="12">
        <f t="shared" si="1"/>
        <v>5</v>
      </c>
      <c r="E141" s="11">
        <v>1</v>
      </c>
      <c r="F141" s="11">
        <v>1</v>
      </c>
      <c r="G141" s="11">
        <v>161</v>
      </c>
      <c r="H141" s="13">
        <v>151</v>
      </c>
      <c r="I141" s="11"/>
    </row>
    <row r="142" spans="2:9" hidden="1" x14ac:dyDescent="0.25">
      <c r="B142">
        <v>4</v>
      </c>
      <c r="C142">
        <v>132</v>
      </c>
      <c r="D142" s="12">
        <f t="shared" si="1"/>
        <v>6</v>
      </c>
      <c r="E142" s="11">
        <v>0</v>
      </c>
      <c r="F142" s="11">
        <v>1</v>
      </c>
      <c r="G142" s="11">
        <v>0</v>
      </c>
      <c r="H142" s="13">
        <v>139</v>
      </c>
      <c r="I142" s="11"/>
    </row>
    <row r="143" spans="2:9" hidden="1" x14ac:dyDescent="0.25">
      <c r="B143">
        <v>4</v>
      </c>
      <c r="C143">
        <v>133</v>
      </c>
      <c r="D143" s="16">
        <f t="shared" si="1"/>
        <v>7</v>
      </c>
      <c r="E143" s="14">
        <v>0</v>
      </c>
      <c r="F143" s="14">
        <v>0</v>
      </c>
      <c r="G143" s="14">
        <v>0</v>
      </c>
      <c r="H143" s="15">
        <v>0</v>
      </c>
      <c r="I143" s="11"/>
    </row>
    <row r="144" spans="2:9" hidden="1" x14ac:dyDescent="0.25">
      <c r="B144">
        <v>4</v>
      </c>
      <c r="C144">
        <v>134</v>
      </c>
      <c r="D144" s="8">
        <f t="shared" si="1"/>
        <v>1</v>
      </c>
      <c r="E144" s="9">
        <v>1</v>
      </c>
      <c r="F144" s="9">
        <v>1</v>
      </c>
      <c r="G144" s="9">
        <v>156</v>
      </c>
      <c r="H144" s="10">
        <v>144</v>
      </c>
      <c r="I144" s="11"/>
    </row>
    <row r="145" spans="2:9" hidden="1" x14ac:dyDescent="0.25">
      <c r="B145">
        <v>4</v>
      </c>
      <c r="C145">
        <v>135</v>
      </c>
      <c r="D145" s="12">
        <f t="shared" si="1"/>
        <v>2</v>
      </c>
      <c r="E145" s="11">
        <v>1</v>
      </c>
      <c r="F145" s="11">
        <v>1</v>
      </c>
      <c r="G145" s="11">
        <v>183</v>
      </c>
      <c r="H145" s="13">
        <v>147</v>
      </c>
      <c r="I145" s="11"/>
    </row>
    <row r="146" spans="2:9" hidden="1" x14ac:dyDescent="0.25">
      <c r="B146">
        <v>4</v>
      </c>
      <c r="C146">
        <v>136</v>
      </c>
      <c r="D146" s="12">
        <f t="shared" si="1"/>
        <v>3</v>
      </c>
      <c r="E146" s="11">
        <v>1</v>
      </c>
      <c r="F146" s="11">
        <v>1</v>
      </c>
      <c r="G146" s="11">
        <v>154</v>
      </c>
      <c r="H146" s="13">
        <v>147</v>
      </c>
      <c r="I146" s="11"/>
    </row>
    <row r="147" spans="2:9" hidden="1" x14ac:dyDescent="0.25">
      <c r="B147">
        <v>4</v>
      </c>
      <c r="C147">
        <v>137</v>
      </c>
      <c r="D147" s="12">
        <f t="shared" ref="D147:D178" si="2">D140</f>
        <v>4</v>
      </c>
      <c r="E147" s="11">
        <v>1</v>
      </c>
      <c r="F147" s="11">
        <v>1</v>
      </c>
      <c r="G147" s="11">
        <v>141</v>
      </c>
      <c r="H147" s="13">
        <v>139</v>
      </c>
      <c r="I147" s="11"/>
    </row>
    <row r="148" spans="2:9" hidden="1" x14ac:dyDescent="0.25">
      <c r="B148">
        <v>4</v>
      </c>
      <c r="C148">
        <v>138</v>
      </c>
      <c r="D148" s="12">
        <f t="shared" si="2"/>
        <v>5</v>
      </c>
      <c r="E148" s="11">
        <v>1</v>
      </c>
      <c r="F148" s="11">
        <v>1</v>
      </c>
      <c r="G148" s="11">
        <v>143</v>
      </c>
      <c r="H148" s="13">
        <v>147</v>
      </c>
      <c r="I148" s="11"/>
    </row>
    <row r="149" spans="2:9" hidden="1" x14ac:dyDescent="0.25">
      <c r="B149">
        <v>4</v>
      </c>
      <c r="C149">
        <v>139</v>
      </c>
      <c r="D149" s="12">
        <f t="shared" si="2"/>
        <v>6</v>
      </c>
      <c r="E149" s="11">
        <v>0</v>
      </c>
      <c r="F149" s="11">
        <v>1</v>
      </c>
      <c r="G149" s="11">
        <v>0</v>
      </c>
      <c r="H149" s="13">
        <v>134</v>
      </c>
      <c r="I149" s="11"/>
    </row>
    <row r="150" spans="2:9" hidden="1" x14ac:dyDescent="0.25">
      <c r="B150">
        <v>4</v>
      </c>
      <c r="C150">
        <v>140</v>
      </c>
      <c r="D150" s="16">
        <f t="shared" si="2"/>
        <v>7</v>
      </c>
      <c r="E150" s="14">
        <v>0</v>
      </c>
      <c r="F150" s="14">
        <v>0</v>
      </c>
      <c r="G150" s="14">
        <v>0</v>
      </c>
      <c r="H150" s="15">
        <v>0</v>
      </c>
      <c r="I150" s="11"/>
    </row>
    <row r="151" spans="2:9" hidden="1" x14ac:dyDescent="0.25">
      <c r="B151">
        <v>4</v>
      </c>
      <c r="C151">
        <v>141</v>
      </c>
      <c r="D151" s="8">
        <f t="shared" si="2"/>
        <v>1</v>
      </c>
      <c r="E151" s="9">
        <v>1</v>
      </c>
      <c r="F151" s="9">
        <v>1</v>
      </c>
      <c r="G151" s="9">
        <v>184</v>
      </c>
      <c r="H151" s="10">
        <v>136</v>
      </c>
      <c r="I151" s="11"/>
    </row>
    <row r="152" spans="2:9" hidden="1" x14ac:dyDescent="0.25">
      <c r="B152">
        <v>4</v>
      </c>
      <c r="C152">
        <v>142</v>
      </c>
      <c r="D152" s="12">
        <f t="shared" si="2"/>
        <v>2</v>
      </c>
      <c r="E152" s="11">
        <v>1</v>
      </c>
      <c r="F152" s="11">
        <v>1</v>
      </c>
      <c r="G152" s="11">
        <v>188</v>
      </c>
      <c r="H152" s="13">
        <v>154</v>
      </c>
      <c r="I152" s="11"/>
    </row>
    <row r="153" spans="2:9" hidden="1" x14ac:dyDescent="0.25">
      <c r="B153">
        <v>4</v>
      </c>
      <c r="C153">
        <v>143</v>
      </c>
      <c r="D153" s="12">
        <f t="shared" si="2"/>
        <v>3</v>
      </c>
      <c r="E153" s="11">
        <v>1</v>
      </c>
      <c r="F153" s="11">
        <v>1</v>
      </c>
      <c r="G153" s="11">
        <v>178</v>
      </c>
      <c r="H153" s="13">
        <v>149</v>
      </c>
      <c r="I153" s="11"/>
    </row>
    <row r="154" spans="2:9" hidden="1" x14ac:dyDescent="0.25">
      <c r="B154">
        <v>4</v>
      </c>
      <c r="C154">
        <v>144</v>
      </c>
      <c r="D154" s="12">
        <f t="shared" si="2"/>
        <v>4</v>
      </c>
      <c r="E154" s="11">
        <v>1</v>
      </c>
      <c r="F154" s="11">
        <v>1</v>
      </c>
      <c r="G154" s="11">
        <v>151</v>
      </c>
      <c r="H154" s="13">
        <v>139</v>
      </c>
      <c r="I154" s="11"/>
    </row>
    <row r="155" spans="2:9" hidden="1" x14ac:dyDescent="0.25">
      <c r="B155">
        <v>4</v>
      </c>
      <c r="C155">
        <v>145</v>
      </c>
      <c r="D155" s="12">
        <f t="shared" si="2"/>
        <v>5</v>
      </c>
      <c r="E155" s="11">
        <v>1</v>
      </c>
      <c r="F155" s="11">
        <v>1</v>
      </c>
      <c r="G155" s="11">
        <v>160</v>
      </c>
      <c r="H155" s="13">
        <v>156</v>
      </c>
      <c r="I155" s="11"/>
    </row>
    <row r="156" spans="2:9" hidden="1" x14ac:dyDescent="0.25">
      <c r="B156">
        <v>4</v>
      </c>
      <c r="C156">
        <v>146</v>
      </c>
      <c r="D156" s="12">
        <f t="shared" si="2"/>
        <v>6</v>
      </c>
      <c r="E156" s="11">
        <v>0</v>
      </c>
      <c r="F156" s="11">
        <v>1</v>
      </c>
      <c r="G156" s="11">
        <v>0</v>
      </c>
      <c r="H156" s="13">
        <v>158</v>
      </c>
      <c r="I156" s="11"/>
    </row>
    <row r="157" spans="2:9" hidden="1" x14ac:dyDescent="0.25">
      <c r="B157">
        <v>4</v>
      </c>
      <c r="C157">
        <v>147</v>
      </c>
      <c r="D157" s="16">
        <f t="shared" si="2"/>
        <v>7</v>
      </c>
      <c r="E157" s="14">
        <v>0</v>
      </c>
      <c r="F157" s="14">
        <v>0</v>
      </c>
      <c r="G157" s="14">
        <v>0</v>
      </c>
      <c r="H157" s="15">
        <v>0</v>
      </c>
      <c r="I157" s="11"/>
    </row>
    <row r="158" spans="2:9" hidden="1" x14ac:dyDescent="0.25">
      <c r="B158">
        <v>4</v>
      </c>
      <c r="C158">
        <v>148</v>
      </c>
      <c r="D158" s="8">
        <f t="shared" si="2"/>
        <v>1</v>
      </c>
      <c r="E158" s="9">
        <v>1</v>
      </c>
      <c r="F158" s="9">
        <v>1</v>
      </c>
      <c r="G158" s="9">
        <v>183</v>
      </c>
      <c r="H158" s="10">
        <v>140</v>
      </c>
      <c r="I158" s="11"/>
    </row>
    <row r="159" spans="2:9" hidden="1" x14ac:dyDescent="0.25">
      <c r="B159">
        <v>4</v>
      </c>
      <c r="C159">
        <v>149</v>
      </c>
      <c r="D159" s="12">
        <f t="shared" si="2"/>
        <v>2</v>
      </c>
      <c r="E159" s="11">
        <v>1</v>
      </c>
      <c r="F159" s="11">
        <v>1</v>
      </c>
      <c r="G159" s="11">
        <v>182</v>
      </c>
      <c r="H159" s="13">
        <v>141</v>
      </c>
      <c r="I159" s="11"/>
    </row>
    <row r="160" spans="2:9" hidden="1" x14ac:dyDescent="0.25">
      <c r="B160">
        <v>4</v>
      </c>
      <c r="C160">
        <v>150</v>
      </c>
      <c r="D160" s="12">
        <f t="shared" si="2"/>
        <v>3</v>
      </c>
      <c r="E160" s="11">
        <v>1</v>
      </c>
      <c r="F160" s="11">
        <v>1</v>
      </c>
      <c r="G160" s="11">
        <v>132</v>
      </c>
      <c r="H160" s="13">
        <v>143</v>
      </c>
      <c r="I160" s="11"/>
    </row>
    <row r="161" spans="2:9" hidden="1" x14ac:dyDescent="0.25">
      <c r="B161">
        <v>4</v>
      </c>
      <c r="C161">
        <v>151</v>
      </c>
      <c r="D161" s="12">
        <f t="shared" si="2"/>
        <v>4</v>
      </c>
      <c r="E161" s="11">
        <v>1</v>
      </c>
      <c r="F161" s="11">
        <v>1</v>
      </c>
      <c r="G161" s="11">
        <v>180</v>
      </c>
      <c r="H161" s="13">
        <v>160</v>
      </c>
      <c r="I161" s="11"/>
    </row>
    <row r="162" spans="2:9" hidden="1" x14ac:dyDescent="0.25">
      <c r="B162">
        <v>4</v>
      </c>
      <c r="C162">
        <v>152</v>
      </c>
      <c r="D162" s="12">
        <f t="shared" si="2"/>
        <v>5</v>
      </c>
      <c r="E162" s="11">
        <v>1</v>
      </c>
      <c r="F162" s="11">
        <v>1</v>
      </c>
      <c r="G162" s="11">
        <v>181</v>
      </c>
      <c r="H162" s="13">
        <v>136</v>
      </c>
      <c r="I162" s="11"/>
    </row>
    <row r="163" spans="2:9" hidden="1" x14ac:dyDescent="0.25">
      <c r="B163">
        <v>4</v>
      </c>
      <c r="C163">
        <v>153</v>
      </c>
      <c r="D163" s="12">
        <f t="shared" si="2"/>
        <v>6</v>
      </c>
      <c r="E163" s="11">
        <v>0</v>
      </c>
      <c r="F163" s="11">
        <v>1</v>
      </c>
      <c r="G163" s="11">
        <v>0</v>
      </c>
      <c r="H163" s="13">
        <v>155</v>
      </c>
      <c r="I163" s="11"/>
    </row>
    <row r="164" spans="2:9" hidden="1" x14ac:dyDescent="0.25">
      <c r="B164">
        <v>4</v>
      </c>
      <c r="C164">
        <v>154</v>
      </c>
      <c r="D164" s="16">
        <f t="shared" si="2"/>
        <v>7</v>
      </c>
      <c r="E164" s="14">
        <v>0</v>
      </c>
      <c r="F164" s="14">
        <v>0</v>
      </c>
      <c r="G164" s="14">
        <v>0</v>
      </c>
      <c r="H164" s="15">
        <v>0</v>
      </c>
      <c r="I164" s="11"/>
    </row>
    <row r="165" spans="2:9" hidden="1" x14ac:dyDescent="0.25">
      <c r="B165">
        <v>4</v>
      </c>
      <c r="C165">
        <v>155</v>
      </c>
      <c r="D165" s="8">
        <f t="shared" si="2"/>
        <v>1</v>
      </c>
      <c r="E165" s="9">
        <v>1</v>
      </c>
      <c r="F165" s="9">
        <v>1</v>
      </c>
      <c r="G165" s="9">
        <v>145</v>
      </c>
      <c r="H165" s="10">
        <v>133</v>
      </c>
      <c r="I165" s="11"/>
    </row>
    <row r="166" spans="2:9" hidden="1" x14ac:dyDescent="0.25">
      <c r="B166">
        <v>4</v>
      </c>
      <c r="C166">
        <v>156</v>
      </c>
      <c r="D166" s="12">
        <f t="shared" si="2"/>
        <v>2</v>
      </c>
      <c r="E166" s="11">
        <v>1</v>
      </c>
      <c r="F166" s="11">
        <v>1</v>
      </c>
      <c r="G166" s="11">
        <v>153</v>
      </c>
      <c r="H166" s="13">
        <v>137</v>
      </c>
      <c r="I166" s="11"/>
    </row>
    <row r="167" spans="2:9" hidden="1" x14ac:dyDescent="0.25">
      <c r="B167">
        <v>4</v>
      </c>
      <c r="C167">
        <v>157</v>
      </c>
      <c r="D167" s="12">
        <f t="shared" si="2"/>
        <v>3</v>
      </c>
      <c r="E167" s="11">
        <v>1</v>
      </c>
      <c r="F167" s="11">
        <v>1</v>
      </c>
      <c r="G167" s="11">
        <v>144</v>
      </c>
      <c r="H167" s="13">
        <v>155</v>
      </c>
      <c r="I167" s="11"/>
    </row>
    <row r="168" spans="2:9" hidden="1" x14ac:dyDescent="0.25">
      <c r="B168">
        <v>4</v>
      </c>
      <c r="C168">
        <v>158</v>
      </c>
      <c r="D168" s="12">
        <f t="shared" si="2"/>
        <v>4</v>
      </c>
      <c r="E168" s="11">
        <v>1</v>
      </c>
      <c r="F168" s="11">
        <v>1</v>
      </c>
      <c r="G168" s="11">
        <v>149</v>
      </c>
      <c r="H168" s="13">
        <v>150</v>
      </c>
      <c r="I168" s="11"/>
    </row>
    <row r="169" spans="2:9" hidden="1" x14ac:dyDescent="0.25">
      <c r="B169">
        <v>4</v>
      </c>
      <c r="C169">
        <v>159</v>
      </c>
      <c r="D169" s="12">
        <f t="shared" si="2"/>
        <v>5</v>
      </c>
      <c r="E169" s="11">
        <v>1</v>
      </c>
      <c r="F169" s="11">
        <v>1</v>
      </c>
      <c r="G169" s="11">
        <v>143</v>
      </c>
      <c r="H169" s="13">
        <v>140</v>
      </c>
      <c r="I169" s="11"/>
    </row>
    <row r="170" spans="2:9" hidden="1" x14ac:dyDescent="0.25">
      <c r="B170">
        <v>4</v>
      </c>
      <c r="C170">
        <v>160</v>
      </c>
      <c r="D170" s="12">
        <f t="shared" si="2"/>
        <v>6</v>
      </c>
      <c r="E170" s="11">
        <v>0</v>
      </c>
      <c r="F170" s="11">
        <v>1</v>
      </c>
      <c r="G170" s="11">
        <v>0</v>
      </c>
      <c r="H170" s="13">
        <v>157</v>
      </c>
      <c r="I170" s="11"/>
    </row>
    <row r="171" spans="2:9" hidden="1" x14ac:dyDescent="0.25">
      <c r="B171">
        <v>4</v>
      </c>
      <c r="C171">
        <v>161</v>
      </c>
      <c r="D171" s="16">
        <f t="shared" si="2"/>
        <v>7</v>
      </c>
      <c r="E171" s="14">
        <v>0</v>
      </c>
      <c r="F171" s="14">
        <v>0</v>
      </c>
      <c r="G171" s="14">
        <v>0</v>
      </c>
      <c r="H171" s="15">
        <v>0</v>
      </c>
      <c r="I171" s="11"/>
    </row>
    <row r="172" spans="2:9" x14ac:dyDescent="0.25">
      <c r="B172">
        <v>4</v>
      </c>
      <c r="C172">
        <v>162</v>
      </c>
      <c r="D172" s="8">
        <f t="shared" si="2"/>
        <v>1</v>
      </c>
      <c r="E172" s="9">
        <v>1</v>
      </c>
      <c r="F172" s="9">
        <v>1</v>
      </c>
      <c r="G172" s="9">
        <v>149</v>
      </c>
      <c r="H172" s="10">
        <v>158</v>
      </c>
      <c r="I172" s="11"/>
    </row>
    <row r="173" spans="2:9" x14ac:dyDescent="0.25">
      <c r="B173">
        <v>4</v>
      </c>
      <c r="C173">
        <v>163</v>
      </c>
      <c r="D173" s="12">
        <f t="shared" si="2"/>
        <v>2</v>
      </c>
      <c r="E173" s="11">
        <v>1</v>
      </c>
      <c r="F173" s="11">
        <v>1</v>
      </c>
      <c r="G173" s="11">
        <v>156</v>
      </c>
      <c r="H173" s="13">
        <v>141</v>
      </c>
      <c r="I173" s="11"/>
    </row>
    <row r="174" spans="2:9" x14ac:dyDescent="0.25">
      <c r="B174">
        <v>4</v>
      </c>
      <c r="C174">
        <v>164</v>
      </c>
      <c r="D174" s="12">
        <f t="shared" si="2"/>
        <v>3</v>
      </c>
      <c r="E174" s="11">
        <v>1</v>
      </c>
      <c r="F174" s="11">
        <v>1</v>
      </c>
      <c r="G174" s="11">
        <v>163</v>
      </c>
      <c r="H174" s="13">
        <v>142</v>
      </c>
      <c r="I174" s="11"/>
    </row>
    <row r="175" spans="2:9" x14ac:dyDescent="0.25">
      <c r="B175">
        <v>4</v>
      </c>
      <c r="C175">
        <v>165</v>
      </c>
      <c r="D175" s="12">
        <f t="shared" si="2"/>
        <v>4</v>
      </c>
      <c r="E175" s="11">
        <v>1</v>
      </c>
      <c r="F175" s="11">
        <v>1</v>
      </c>
      <c r="G175" s="11">
        <v>128</v>
      </c>
      <c r="H175" s="13">
        <v>144</v>
      </c>
      <c r="I175" s="11"/>
    </row>
    <row r="176" spans="2:9" x14ac:dyDescent="0.25">
      <c r="B176">
        <v>4</v>
      </c>
      <c r="C176">
        <v>166</v>
      </c>
      <c r="D176" s="12">
        <f t="shared" si="2"/>
        <v>5</v>
      </c>
      <c r="E176" s="11">
        <v>1</v>
      </c>
      <c r="F176" s="11">
        <v>1</v>
      </c>
      <c r="G176" s="11">
        <v>135</v>
      </c>
      <c r="H176" s="13">
        <v>161</v>
      </c>
      <c r="I176" s="11"/>
    </row>
    <row r="177" spans="2:9" x14ac:dyDescent="0.25">
      <c r="B177">
        <v>4</v>
      </c>
      <c r="C177">
        <v>167</v>
      </c>
      <c r="D177" s="12">
        <f t="shared" si="2"/>
        <v>6</v>
      </c>
      <c r="E177" s="11">
        <v>0</v>
      </c>
      <c r="F177" s="11">
        <v>1</v>
      </c>
      <c r="G177" s="11">
        <v>0</v>
      </c>
      <c r="H177" s="13">
        <v>137</v>
      </c>
      <c r="I177" s="11"/>
    </row>
    <row r="178" spans="2:9" x14ac:dyDescent="0.25">
      <c r="B178">
        <v>4</v>
      </c>
      <c r="C178">
        <v>168</v>
      </c>
      <c r="D178" s="16">
        <f t="shared" si="2"/>
        <v>7</v>
      </c>
      <c r="E178" s="14">
        <v>0</v>
      </c>
      <c r="F178" s="14">
        <v>0</v>
      </c>
      <c r="G178" s="14">
        <v>0</v>
      </c>
      <c r="H178" s="15">
        <v>0</v>
      </c>
      <c r="I178" s="11"/>
    </row>
  </sheetData>
  <conditionalFormatting sqref="E11:E178">
    <cfRule type="cellIs" dxfId="6" priority="3" operator="equal">
      <formula>0</formula>
    </cfRule>
  </conditionalFormatting>
  <conditionalFormatting sqref="G11:G178">
    <cfRule type="cellIs" dxfId="5" priority="2" operator="equal">
      <formula>0</formula>
    </cfRule>
  </conditionalFormatting>
  <conditionalFormatting sqref="F11:F178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A6331-A8DF-46A5-8728-B955F9689631}">
  <sheetPr codeName="Sheet3"/>
  <dimension ref="A1:AE178"/>
  <sheetViews>
    <sheetView tabSelected="1" topLeftCell="B16" workbookViewId="0">
      <selection activeCell="S2" sqref="S2"/>
    </sheetView>
  </sheetViews>
  <sheetFormatPr defaultRowHeight="15" x14ac:dyDescent="0.25"/>
  <cols>
    <col min="9" max="9" width="9.85546875" customWidth="1"/>
    <col min="13" max="13" width="10" customWidth="1"/>
  </cols>
  <sheetData>
    <row r="1" spans="1:31" ht="46.5" x14ac:dyDescent="0.35">
      <c r="A1" s="1"/>
      <c r="B1" s="17" t="s">
        <v>7</v>
      </c>
      <c r="C1" s="1"/>
      <c r="D1" s="1"/>
      <c r="E1" s="1"/>
      <c r="F1" s="1"/>
      <c r="G1" s="1"/>
      <c r="H1" s="1"/>
      <c r="I1" s="1"/>
      <c r="J1" s="1" t="s">
        <v>10</v>
      </c>
      <c r="K1" s="1"/>
      <c r="L1" s="1"/>
      <c r="M1" s="1"/>
      <c r="N1" s="7" t="s">
        <v>37</v>
      </c>
      <c r="O1" s="1" t="s">
        <v>38</v>
      </c>
      <c r="P1" s="1" t="s">
        <v>39</v>
      </c>
      <c r="Q1" s="1" t="s">
        <v>40</v>
      </c>
      <c r="R1" s="1" t="s">
        <v>41</v>
      </c>
      <c r="S1" s="7" t="s">
        <v>42</v>
      </c>
      <c r="T1" s="7" t="s">
        <v>43</v>
      </c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x14ac:dyDescent="0.25">
      <c r="A2" s="1"/>
      <c r="B2" s="2" t="s">
        <v>30</v>
      </c>
      <c r="C2" s="1"/>
      <c r="D2" s="1"/>
      <c r="E2" s="1"/>
      <c r="F2" s="1"/>
      <c r="G2" s="19" t="s">
        <v>24</v>
      </c>
      <c r="H2" s="18">
        <f ca="1">AVERAGE(H11:H178)</f>
        <v>92.49404761904762</v>
      </c>
      <c r="I2" s="1" t="s">
        <v>12</v>
      </c>
      <c r="J2" s="18">
        <f ca="1">AVERAGE(J11:J178)</f>
        <v>266.10714285714283</v>
      </c>
      <c r="K2" s="1"/>
      <c r="L2" s="1"/>
      <c r="M2" s="1" t="s">
        <v>12</v>
      </c>
      <c r="N2" s="18">
        <f>AVERAGE(N11:N110)</f>
        <v>251.0016071428571</v>
      </c>
      <c r="O2" s="18">
        <f t="shared" ref="O2:T2" si="0">AVERAGE(O11:O110)</f>
        <v>-13.55</v>
      </c>
      <c r="P2" s="18">
        <f t="shared" si="0"/>
        <v>657.84</v>
      </c>
      <c r="Q2" s="18">
        <f t="shared" si="0"/>
        <v>175.89391542960766</v>
      </c>
      <c r="R2" s="18">
        <f t="shared" si="0"/>
        <v>671.39</v>
      </c>
      <c r="S2" s="18">
        <f t="shared" si="0"/>
        <v>-12.05</v>
      </c>
      <c r="T2" s="18">
        <f t="shared" si="0"/>
        <v>0.55000000000000004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2" t="s">
        <v>28</v>
      </c>
      <c r="C3" s="1" t="s">
        <v>29</v>
      </c>
      <c r="D3" s="1"/>
      <c r="E3" s="1"/>
      <c r="F3" s="1"/>
      <c r="G3" s="19" t="s">
        <v>25</v>
      </c>
      <c r="H3" s="18">
        <f ca="1">AVERAGEIF(H11:H178,"&gt;0")</f>
        <v>140.24324324324326</v>
      </c>
      <c r="I3" s="1" t="s">
        <v>13</v>
      </c>
      <c r="J3" s="18">
        <f ca="1">MIN(J11:J178)</f>
        <v>-13</v>
      </c>
      <c r="K3" s="1"/>
      <c r="L3" s="1"/>
      <c r="M3" s="1" t="s">
        <v>13</v>
      </c>
      <c r="N3" s="18">
        <f>MIN(N11:N110)</f>
        <v>213.60119047619048</v>
      </c>
      <c r="O3" s="18">
        <f t="shared" ref="O3:T3" si="1">MIN(O11:O110)</f>
        <v>-16</v>
      </c>
      <c r="P3" s="18">
        <f t="shared" si="1"/>
        <v>567</v>
      </c>
      <c r="Q3" s="18">
        <f t="shared" si="1"/>
        <v>142.88017361477486</v>
      </c>
      <c r="R3" s="18">
        <f t="shared" si="1"/>
        <v>580</v>
      </c>
      <c r="S3" s="18">
        <f t="shared" si="1"/>
        <v>-14</v>
      </c>
      <c r="T3" s="18">
        <f t="shared" si="1"/>
        <v>0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/>
      <c r="B4" s="2">
        <v>1</v>
      </c>
      <c r="C4" s="20">
        <v>4</v>
      </c>
      <c r="D4" s="1"/>
      <c r="E4" s="1"/>
      <c r="F4" s="1"/>
      <c r="G4" s="19" t="s">
        <v>26</v>
      </c>
      <c r="H4" s="18">
        <f ca="1">AVERAGEIF(K11:K178,1,H11:H178)</f>
        <v>158</v>
      </c>
      <c r="I4" s="1" t="s">
        <v>14</v>
      </c>
      <c r="J4" s="18">
        <f ca="1">MAX(J11:J178)</f>
        <v>671</v>
      </c>
      <c r="K4" s="1"/>
      <c r="L4" s="1"/>
      <c r="M4" s="1" t="s">
        <v>14</v>
      </c>
      <c r="N4" s="18">
        <f>MAX(N11:N110)</f>
        <v>300.45238095238096</v>
      </c>
      <c r="O4" s="18">
        <f t="shared" ref="O4:T4" si="2">MAX(O11:O110)</f>
        <v>-13</v>
      </c>
      <c r="P4" s="18">
        <f t="shared" si="2"/>
        <v>728</v>
      </c>
      <c r="Q4" s="18">
        <f t="shared" si="2"/>
        <v>216.82060857735567</v>
      </c>
      <c r="R4" s="18">
        <f t="shared" si="2"/>
        <v>741</v>
      </c>
      <c r="S4" s="18">
        <f t="shared" si="2"/>
        <v>-12</v>
      </c>
      <c r="T4" s="18">
        <f t="shared" si="2"/>
        <v>3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2">
        <v>2</v>
      </c>
      <c r="C5" s="21">
        <v>4</v>
      </c>
      <c r="D5" s="1"/>
      <c r="E5" s="1"/>
      <c r="F5" s="1"/>
      <c r="G5" s="19" t="s">
        <v>27</v>
      </c>
      <c r="H5" s="18">
        <f ca="1">AVERAGEIFS(H11:H178,H11:H178,"&gt;0",K11:K178,0)</f>
        <v>140.08181818181819</v>
      </c>
      <c r="I5" s="1" t="s">
        <v>15</v>
      </c>
      <c r="J5" s="18">
        <f ca="1">_xlfn.STDEV.P(J11:J178)</f>
        <v>190.7247466811757</v>
      </c>
      <c r="K5" s="1"/>
      <c r="L5" s="1"/>
      <c r="M5" s="1" t="s">
        <v>15</v>
      </c>
      <c r="N5" s="18">
        <f>_xlfn.STDEV.P(N11:N110)</f>
        <v>16.096097488129349</v>
      </c>
      <c r="O5" s="18">
        <f t="shared" ref="O5:T5" si="3">_xlfn.STDEV.P(O11:O110)</f>
        <v>0.84113019206303608</v>
      </c>
      <c r="P5" s="18">
        <f t="shared" si="3"/>
        <v>30.406486150162106</v>
      </c>
      <c r="Q5" s="18">
        <f t="shared" si="3"/>
        <v>14.336218811684979</v>
      </c>
      <c r="R5" s="18">
        <f t="shared" si="3"/>
        <v>30.38219708974319</v>
      </c>
      <c r="S5" s="18">
        <f t="shared" si="3"/>
        <v>0.25980762113533168</v>
      </c>
      <c r="T5" s="18">
        <f t="shared" si="3"/>
        <v>0.76648548583779463</v>
      </c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2">
        <v>3</v>
      </c>
      <c r="C6" s="21">
        <v>5</v>
      </c>
      <c r="D6" s="1"/>
      <c r="E6" s="1"/>
      <c r="F6" s="1"/>
      <c r="G6" s="1"/>
      <c r="H6" s="1"/>
      <c r="I6" s="1" t="s">
        <v>16</v>
      </c>
      <c r="J6" s="18">
        <f ca="1">J4-J3</f>
        <v>684</v>
      </c>
      <c r="K6" s="1"/>
      <c r="L6" s="1"/>
      <c r="M6" s="1" t="s">
        <v>16</v>
      </c>
      <c r="N6" s="18">
        <f>N4-N3</f>
        <v>86.851190476190482</v>
      </c>
      <c r="O6" s="18">
        <f t="shared" ref="O6:T6" si="4">O4-O3</f>
        <v>3</v>
      </c>
      <c r="P6" s="18">
        <f t="shared" si="4"/>
        <v>161</v>
      </c>
      <c r="Q6" s="18">
        <f t="shared" si="4"/>
        <v>73.940434962580809</v>
      </c>
      <c r="R6" s="18">
        <f t="shared" si="4"/>
        <v>161</v>
      </c>
      <c r="S6" s="18">
        <f t="shared" si="4"/>
        <v>2</v>
      </c>
      <c r="T6" s="18">
        <f t="shared" si="4"/>
        <v>3</v>
      </c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1"/>
      <c r="B7" s="2">
        <v>4</v>
      </c>
      <c r="C7" s="22">
        <v>6</v>
      </c>
      <c r="D7" s="1"/>
      <c r="E7" s="1" t="s">
        <v>31</v>
      </c>
      <c r="F7" s="20">
        <v>144</v>
      </c>
      <c r="G7" s="1"/>
      <c r="H7" s="1"/>
      <c r="I7" s="1" t="s">
        <v>17</v>
      </c>
      <c r="J7" s="18">
        <f ca="1">J178</f>
        <v>-12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1"/>
      <c r="B8" s="2"/>
      <c r="C8" s="1">
        <f>SUM(C4:C7)</f>
        <v>19</v>
      </c>
      <c r="D8" s="1"/>
      <c r="E8" s="1" t="s">
        <v>35</v>
      </c>
      <c r="F8" s="20">
        <v>130</v>
      </c>
      <c r="G8" s="1"/>
      <c r="H8" s="1"/>
      <c r="I8" s="19" t="s">
        <v>23</v>
      </c>
      <c r="J8" s="18">
        <f ca="1">SUM(K11:K178)</f>
        <v>1</v>
      </c>
      <c r="K8" s="1"/>
      <c r="L8" s="1"/>
      <c r="M8" s="1"/>
      <c r="N8" s="1"/>
      <c r="O8" s="1"/>
      <c r="P8" s="1"/>
      <c r="Q8" s="1"/>
      <c r="R8" s="24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1"/>
      <c r="B9" s="2"/>
      <c r="C9" s="1"/>
      <c r="D9" s="1"/>
      <c r="E9" s="1" t="s">
        <v>34</v>
      </c>
      <c r="F9" s="22">
        <v>161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76.5" customHeight="1" x14ac:dyDescent="0.35">
      <c r="A10" s="5"/>
      <c r="B10" s="6" t="s">
        <v>0</v>
      </c>
      <c r="C10" s="6" t="s">
        <v>1</v>
      </c>
      <c r="D10" s="7" t="s">
        <v>2</v>
      </c>
      <c r="E10" s="7" t="s">
        <v>3</v>
      </c>
      <c r="F10" s="7" t="s">
        <v>4</v>
      </c>
      <c r="G10" s="7" t="s">
        <v>5</v>
      </c>
      <c r="H10" s="7" t="s">
        <v>6</v>
      </c>
      <c r="I10" s="6" t="s">
        <v>11</v>
      </c>
      <c r="J10" s="5" t="s">
        <v>10</v>
      </c>
      <c r="K10" s="6" t="s">
        <v>22</v>
      </c>
      <c r="L10" s="6"/>
      <c r="M10" s="6" t="s">
        <v>36</v>
      </c>
      <c r="N10" s="5" t="s">
        <v>12</v>
      </c>
      <c r="O10" s="5" t="s">
        <v>13</v>
      </c>
      <c r="P10" s="5" t="s">
        <v>14</v>
      </c>
      <c r="Q10" s="5" t="s">
        <v>15</v>
      </c>
      <c r="R10" s="5" t="s">
        <v>16</v>
      </c>
      <c r="S10" s="5" t="s">
        <v>17</v>
      </c>
      <c r="T10" s="23" t="s">
        <v>23</v>
      </c>
      <c r="U10" s="1"/>
      <c r="V10" s="1"/>
      <c r="W10" s="1"/>
      <c r="X10" s="1"/>
      <c r="Y10" s="1"/>
      <c r="Z10" s="1"/>
      <c r="AA10" s="1"/>
      <c r="AB10" s="7" t="s">
        <v>18</v>
      </c>
      <c r="AC10" s="1" t="s">
        <v>19</v>
      </c>
      <c r="AD10" s="1" t="s">
        <v>20</v>
      </c>
      <c r="AE10" s="1"/>
    </row>
    <row r="11" spans="1:31" x14ac:dyDescent="0.25">
      <c r="B11">
        <v>1</v>
      </c>
      <c r="C11">
        <v>1</v>
      </c>
      <c r="D11" s="8">
        <v>1</v>
      </c>
      <c r="E11" s="9">
        <v>1</v>
      </c>
      <c r="F11" s="9" cm="1">
        <f t="array" ref="F11">IF(D11&lt;=INDEX($C$4:$C$7,B11),1,0)</f>
        <v>1</v>
      </c>
      <c r="G11" s="9">
        <v>45</v>
      </c>
      <c r="H11" s="10">
        <v>0</v>
      </c>
      <c r="I11" s="11">
        <v>0</v>
      </c>
      <c r="J11">
        <f>I11+G11-H11</f>
        <v>45</v>
      </c>
      <c r="M11">
        <v>1</v>
      </c>
      <c r="N11" s="18">
        <v>241.70833333333334</v>
      </c>
      <c r="O11" s="18">
        <v>-13</v>
      </c>
      <c r="P11" s="18">
        <v>645</v>
      </c>
      <c r="Q11" s="18">
        <v>169.71086596265323</v>
      </c>
      <c r="R11" s="18">
        <v>658</v>
      </c>
      <c r="S11" s="18">
        <v>-12</v>
      </c>
      <c r="T11" s="18">
        <v>0</v>
      </c>
      <c r="AB11" t="str">
        <f>"&lt;"&amp;AC11</f>
        <v>&lt;100</v>
      </c>
      <c r="AC11">
        <v>100</v>
      </c>
      <c r="AD11" cm="1">
        <f t="array" aca="1" ref="AD11:AD20" ca="1">FREQUENCY(J11:J178,AC11:AC20)</f>
        <v>35</v>
      </c>
    </row>
    <row r="12" spans="1:31" x14ac:dyDescent="0.25">
      <c r="B12">
        <v>1</v>
      </c>
      <c r="C12">
        <v>2</v>
      </c>
      <c r="D12" s="12">
        <v>2</v>
      </c>
      <c r="E12" s="11">
        <v>1</v>
      </c>
      <c r="F12" s="11" cm="1">
        <f t="array" ref="F12">IF(D12&lt;=INDEX($C$4:$C$7,B12),1,0)</f>
        <v>1</v>
      </c>
      <c r="G12" s="11">
        <v>73</v>
      </c>
      <c r="H12" s="13">
        <f ca="1">IF(F12=1,ROUND((110%*(MIN(I12,RANDBETWEEN($F$8,$F$9)))),0),0)</f>
        <v>50</v>
      </c>
      <c r="I12" s="11">
        <f>J11</f>
        <v>45</v>
      </c>
      <c r="J12">
        <f t="shared" ref="J12:J75" ca="1" si="5">I12+G12-H12</f>
        <v>68</v>
      </c>
      <c r="K12">
        <f ca="1">IF(AND(H12=I12,F12=1),1,0)</f>
        <v>0</v>
      </c>
      <c r="M12">
        <v>2</v>
      </c>
      <c r="N12">
        <v>278.25595238095241</v>
      </c>
      <c r="O12">
        <v>-13</v>
      </c>
      <c r="P12">
        <v>702</v>
      </c>
      <c r="Q12">
        <v>200.21220875860126</v>
      </c>
      <c r="R12">
        <v>715</v>
      </c>
      <c r="S12">
        <v>-12</v>
      </c>
      <c r="T12">
        <v>0</v>
      </c>
      <c r="AB12" t="str">
        <f>AC11+1&amp; "-" &amp;AC12</f>
        <v>101-200</v>
      </c>
      <c r="AC12">
        <v>200</v>
      </c>
      <c r="AD12">
        <f ca="1"/>
        <v>51</v>
      </c>
    </row>
    <row r="13" spans="1:31" x14ac:dyDescent="0.25">
      <c r="B13">
        <v>1</v>
      </c>
      <c r="C13">
        <v>3</v>
      </c>
      <c r="D13" s="12">
        <v>3</v>
      </c>
      <c r="E13" s="11">
        <v>1</v>
      </c>
      <c r="F13" s="11" cm="1">
        <f t="array" ref="F13">IF(D13&lt;=INDEX($C$4:$C$7,B13),1,0)</f>
        <v>1</v>
      </c>
      <c r="G13" s="11">
        <v>55</v>
      </c>
      <c r="H13" s="13">
        <f t="shared" ref="H13:H76" ca="1" si="6">IF(F13=1,ROUND((110%*(MIN(I13,RANDBETWEEN($F$8,$F$9)))),0),0)</f>
        <v>75</v>
      </c>
      <c r="I13" s="11">
        <f t="shared" ref="I13:I76" ca="1" si="7">J12</f>
        <v>68</v>
      </c>
      <c r="J13">
        <f t="shared" ca="1" si="5"/>
        <v>48</v>
      </c>
      <c r="K13">
        <f t="shared" ref="K13:K76" ca="1" si="8">IF(AND(H13=I13,F13=1),1,0)</f>
        <v>0</v>
      </c>
      <c r="M13">
        <v>3</v>
      </c>
      <c r="N13">
        <v>218.57738095238096</v>
      </c>
      <c r="O13">
        <v>-13</v>
      </c>
      <c r="P13">
        <v>579</v>
      </c>
      <c r="Q13">
        <v>142.88017361477486</v>
      </c>
      <c r="R13">
        <v>592</v>
      </c>
      <c r="S13">
        <v>-12</v>
      </c>
      <c r="T13">
        <v>1</v>
      </c>
      <c r="AB13" t="str">
        <f t="shared" ref="AB13:AB19" si="9">AC12+1&amp; "-" &amp;AC13</f>
        <v>201-300</v>
      </c>
      <c r="AC13">
        <v>300</v>
      </c>
      <c r="AD13">
        <f ca="1"/>
        <v>21</v>
      </c>
    </row>
    <row r="14" spans="1:31" x14ac:dyDescent="0.25">
      <c r="B14">
        <v>1</v>
      </c>
      <c r="C14">
        <v>4</v>
      </c>
      <c r="D14" s="12">
        <v>4</v>
      </c>
      <c r="E14" s="11">
        <v>1</v>
      </c>
      <c r="F14" s="11" cm="1">
        <f t="array" ref="F14">IF(D14&lt;=INDEX($C$4:$C$7,B14),1,0)</f>
        <v>1</v>
      </c>
      <c r="G14" s="11">
        <v>40</v>
      </c>
      <c r="H14" s="13">
        <f t="shared" ca="1" si="6"/>
        <v>53</v>
      </c>
      <c r="I14" s="11">
        <f t="shared" ca="1" si="7"/>
        <v>48</v>
      </c>
      <c r="J14">
        <f t="shared" ca="1" si="5"/>
        <v>35</v>
      </c>
      <c r="K14">
        <f t="shared" ca="1" si="8"/>
        <v>0</v>
      </c>
      <c r="M14">
        <v>4</v>
      </c>
      <c r="N14">
        <v>247.32738095238096</v>
      </c>
      <c r="O14">
        <v>-13</v>
      </c>
      <c r="P14">
        <v>616</v>
      </c>
      <c r="Q14">
        <v>168.09742416880817</v>
      </c>
      <c r="R14">
        <v>629</v>
      </c>
      <c r="S14">
        <v>-12</v>
      </c>
      <c r="T14">
        <v>0</v>
      </c>
      <c r="AB14" t="str">
        <f t="shared" si="9"/>
        <v>301-400</v>
      </c>
      <c r="AC14">
        <v>400</v>
      </c>
      <c r="AD14">
        <f ca="1"/>
        <v>10</v>
      </c>
    </row>
    <row r="15" spans="1:31" x14ac:dyDescent="0.25">
      <c r="B15">
        <v>1</v>
      </c>
      <c r="C15" s="11">
        <v>5</v>
      </c>
      <c r="D15" s="12">
        <v>5</v>
      </c>
      <c r="E15" s="11">
        <v>1</v>
      </c>
      <c r="F15" s="11" cm="1">
        <f t="array" ref="F15">IF(D15&lt;=INDEX($C$4:$C$7,B15),1,0)</f>
        <v>0</v>
      </c>
      <c r="G15" s="11">
        <v>84</v>
      </c>
      <c r="H15" s="13">
        <f t="shared" ca="1" si="6"/>
        <v>0</v>
      </c>
      <c r="I15" s="11">
        <f t="shared" ca="1" si="7"/>
        <v>35</v>
      </c>
      <c r="J15">
        <f t="shared" ca="1" si="5"/>
        <v>119</v>
      </c>
      <c r="K15">
        <f t="shared" ca="1" si="8"/>
        <v>0</v>
      </c>
      <c r="M15">
        <v>5</v>
      </c>
      <c r="N15">
        <v>240.10714285714286</v>
      </c>
      <c r="O15">
        <v>-14</v>
      </c>
      <c r="P15">
        <v>647</v>
      </c>
      <c r="Q15">
        <v>168.81791528273342</v>
      </c>
      <c r="R15">
        <v>661</v>
      </c>
      <c r="S15">
        <v>-12</v>
      </c>
      <c r="T15">
        <v>0</v>
      </c>
      <c r="AB15" t="str">
        <f t="shared" si="9"/>
        <v>401-500</v>
      </c>
      <c r="AC15">
        <v>500</v>
      </c>
      <c r="AD15">
        <f ca="1"/>
        <v>20</v>
      </c>
    </row>
    <row r="16" spans="1:31" x14ac:dyDescent="0.25">
      <c r="B16">
        <v>1</v>
      </c>
      <c r="C16">
        <v>6</v>
      </c>
      <c r="D16" s="12">
        <v>6</v>
      </c>
      <c r="E16" s="11">
        <v>0</v>
      </c>
      <c r="F16" s="11" cm="1">
        <f t="array" ref="F16">IF(D16&lt;=INDEX($C$4:$C$7,B16),1,0)</f>
        <v>0</v>
      </c>
      <c r="G16" s="11">
        <v>0</v>
      </c>
      <c r="H16" s="13">
        <f t="shared" ca="1" si="6"/>
        <v>0</v>
      </c>
      <c r="I16" s="11">
        <f t="shared" ca="1" si="7"/>
        <v>119</v>
      </c>
      <c r="J16">
        <f t="shared" ca="1" si="5"/>
        <v>119</v>
      </c>
      <c r="K16">
        <f t="shared" ca="1" si="8"/>
        <v>0</v>
      </c>
      <c r="M16">
        <v>6</v>
      </c>
      <c r="N16">
        <v>268.34523809523807</v>
      </c>
      <c r="O16">
        <v>-13</v>
      </c>
      <c r="P16">
        <v>663</v>
      </c>
      <c r="Q16">
        <v>185.09289778556496</v>
      </c>
      <c r="R16">
        <v>676</v>
      </c>
      <c r="S16">
        <v>-12</v>
      </c>
      <c r="T16">
        <v>0</v>
      </c>
      <c r="AB16" t="str">
        <f t="shared" si="9"/>
        <v>501-600</v>
      </c>
      <c r="AC16">
        <v>600</v>
      </c>
      <c r="AD16">
        <f ca="1"/>
        <v>24</v>
      </c>
    </row>
    <row r="17" spans="2:30" x14ac:dyDescent="0.25">
      <c r="B17" s="14">
        <v>1</v>
      </c>
      <c r="C17" s="15">
        <v>7</v>
      </c>
      <c r="D17" s="16">
        <v>7</v>
      </c>
      <c r="E17" s="14">
        <v>0</v>
      </c>
      <c r="F17" s="14" cm="1">
        <f t="array" ref="F17">IF(D17&lt;=INDEX($C$4:$C$7,B17),1,0)</f>
        <v>0</v>
      </c>
      <c r="G17" s="14">
        <v>0</v>
      </c>
      <c r="H17" s="13">
        <f t="shared" ca="1" si="6"/>
        <v>0</v>
      </c>
      <c r="I17" s="11">
        <f t="shared" ca="1" si="7"/>
        <v>119</v>
      </c>
      <c r="J17">
        <f t="shared" ca="1" si="5"/>
        <v>119</v>
      </c>
      <c r="K17">
        <f t="shared" ca="1" si="8"/>
        <v>0</v>
      </c>
      <c r="M17">
        <v>7</v>
      </c>
      <c r="N17">
        <v>229.125</v>
      </c>
      <c r="O17">
        <v>-13</v>
      </c>
      <c r="P17">
        <v>653</v>
      </c>
      <c r="Q17">
        <v>164.05226328608123</v>
      </c>
      <c r="R17">
        <v>666</v>
      </c>
      <c r="S17">
        <v>-12</v>
      </c>
      <c r="T17">
        <v>0</v>
      </c>
      <c r="AB17" t="str">
        <f t="shared" si="9"/>
        <v>601-700</v>
      </c>
      <c r="AC17">
        <v>700</v>
      </c>
      <c r="AD17">
        <f ca="1"/>
        <v>7</v>
      </c>
    </row>
    <row r="18" spans="2:30" x14ac:dyDescent="0.25">
      <c r="B18">
        <v>1</v>
      </c>
      <c r="C18">
        <v>8</v>
      </c>
      <c r="D18" s="8">
        <f>D11</f>
        <v>1</v>
      </c>
      <c r="E18" s="9">
        <v>1</v>
      </c>
      <c r="F18" s="9" cm="1">
        <f t="array" ref="F18">IF(D18&lt;=INDEX($C$4:$C$7,B18),1,0)</f>
        <v>1</v>
      </c>
      <c r="G18" s="9">
        <v>84</v>
      </c>
      <c r="H18" s="13">
        <f t="shared" ca="1" si="6"/>
        <v>131</v>
      </c>
      <c r="I18" s="11">
        <f t="shared" ca="1" si="7"/>
        <v>119</v>
      </c>
      <c r="J18">
        <f t="shared" ca="1" si="5"/>
        <v>72</v>
      </c>
      <c r="K18">
        <f t="shared" ca="1" si="8"/>
        <v>0</v>
      </c>
      <c r="M18">
        <v>8</v>
      </c>
      <c r="N18">
        <v>246.14285714285714</v>
      </c>
      <c r="O18">
        <v>-13</v>
      </c>
      <c r="P18">
        <v>638</v>
      </c>
      <c r="Q18">
        <v>172.83315949321809</v>
      </c>
      <c r="R18">
        <v>651</v>
      </c>
      <c r="S18">
        <v>-12</v>
      </c>
      <c r="T18">
        <v>1</v>
      </c>
      <c r="AB18" t="str">
        <f t="shared" si="9"/>
        <v>701-800</v>
      </c>
      <c r="AC18">
        <v>800</v>
      </c>
      <c r="AD18">
        <f ca="1"/>
        <v>0</v>
      </c>
    </row>
    <row r="19" spans="2:30" x14ac:dyDescent="0.25">
      <c r="B19">
        <v>1</v>
      </c>
      <c r="C19">
        <v>9</v>
      </c>
      <c r="D19" s="12">
        <f t="shared" ref="D19:D82" si="10">D12</f>
        <v>2</v>
      </c>
      <c r="E19" s="11">
        <v>1</v>
      </c>
      <c r="F19" s="11" cm="1">
        <f t="array" ref="F19">IF(D19&lt;=INDEX($C$4:$C$7,B19),1,0)</f>
        <v>1</v>
      </c>
      <c r="G19" s="11">
        <v>46</v>
      </c>
      <c r="H19" s="13">
        <f t="shared" ca="1" si="6"/>
        <v>79</v>
      </c>
      <c r="I19" s="11">
        <f t="shared" ca="1" si="7"/>
        <v>72</v>
      </c>
      <c r="J19">
        <f t="shared" ca="1" si="5"/>
        <v>39</v>
      </c>
      <c r="K19">
        <f t="shared" ca="1" si="8"/>
        <v>0</v>
      </c>
      <c r="M19">
        <v>9</v>
      </c>
      <c r="N19">
        <v>238.88095238095238</v>
      </c>
      <c r="O19">
        <v>-13</v>
      </c>
      <c r="P19">
        <v>662</v>
      </c>
      <c r="Q19">
        <v>167.23998331182824</v>
      </c>
      <c r="R19">
        <v>675</v>
      </c>
      <c r="S19">
        <v>-12</v>
      </c>
      <c r="T19">
        <v>0</v>
      </c>
      <c r="AB19" t="str">
        <f t="shared" si="9"/>
        <v>801-900</v>
      </c>
      <c r="AC19">
        <v>900</v>
      </c>
      <c r="AD19">
        <f ca="1"/>
        <v>0</v>
      </c>
    </row>
    <row r="20" spans="2:30" x14ac:dyDescent="0.25">
      <c r="B20">
        <v>1</v>
      </c>
      <c r="C20">
        <v>10</v>
      </c>
      <c r="D20" s="12">
        <f t="shared" si="10"/>
        <v>3</v>
      </c>
      <c r="E20" s="11">
        <v>1</v>
      </c>
      <c r="F20" s="11" cm="1">
        <f t="array" ref="F20">IF(D20&lt;=INDEX($C$4:$C$7,B20),1,0)</f>
        <v>1</v>
      </c>
      <c r="G20" s="11">
        <v>59</v>
      </c>
      <c r="H20" s="13">
        <f t="shared" ca="1" si="6"/>
        <v>43</v>
      </c>
      <c r="I20" s="11">
        <f t="shared" ca="1" si="7"/>
        <v>39</v>
      </c>
      <c r="J20">
        <f t="shared" ca="1" si="5"/>
        <v>55</v>
      </c>
      <c r="K20">
        <f t="shared" ca="1" si="8"/>
        <v>0</v>
      </c>
      <c r="M20">
        <v>10</v>
      </c>
      <c r="N20">
        <v>256.07142857142856</v>
      </c>
      <c r="O20">
        <v>-15</v>
      </c>
      <c r="P20">
        <v>679</v>
      </c>
      <c r="Q20">
        <v>182.87982560207371</v>
      </c>
      <c r="R20">
        <v>694</v>
      </c>
      <c r="S20">
        <v>-12</v>
      </c>
      <c r="T20">
        <v>1</v>
      </c>
      <c r="AB20" t="str">
        <f>AC19+1&amp; "&gt;"</f>
        <v>901&gt;</v>
      </c>
      <c r="AC20" t="s">
        <v>21</v>
      </c>
      <c r="AD20">
        <f ca="1"/>
        <v>0</v>
      </c>
    </row>
    <row r="21" spans="2:30" x14ac:dyDescent="0.25">
      <c r="B21">
        <v>1</v>
      </c>
      <c r="C21">
        <v>11</v>
      </c>
      <c r="D21" s="12">
        <f t="shared" si="10"/>
        <v>4</v>
      </c>
      <c r="E21" s="11">
        <v>1</v>
      </c>
      <c r="F21" s="11" cm="1">
        <f t="array" ref="F21">IF(D21&lt;=INDEX($C$4:$C$7,B21),1,0)</f>
        <v>1</v>
      </c>
      <c r="G21" s="11">
        <v>73</v>
      </c>
      <c r="H21" s="13">
        <f t="shared" ca="1" si="6"/>
        <v>61</v>
      </c>
      <c r="I21" s="11">
        <f t="shared" ca="1" si="7"/>
        <v>55</v>
      </c>
      <c r="J21">
        <f t="shared" ca="1" si="5"/>
        <v>67</v>
      </c>
      <c r="K21">
        <f t="shared" ca="1" si="8"/>
        <v>0</v>
      </c>
      <c r="M21">
        <v>11</v>
      </c>
      <c r="N21">
        <v>270.39285714285717</v>
      </c>
      <c r="O21">
        <v>-13</v>
      </c>
      <c r="P21">
        <v>702</v>
      </c>
      <c r="Q21">
        <v>193.05988571629558</v>
      </c>
      <c r="R21">
        <v>715</v>
      </c>
      <c r="S21">
        <v>-12</v>
      </c>
      <c r="T21">
        <v>0</v>
      </c>
    </row>
    <row r="22" spans="2:30" x14ac:dyDescent="0.25">
      <c r="B22">
        <v>1</v>
      </c>
      <c r="C22">
        <v>12</v>
      </c>
      <c r="D22" s="12">
        <f t="shared" si="10"/>
        <v>5</v>
      </c>
      <c r="E22" s="11">
        <v>1</v>
      </c>
      <c r="F22" s="11" cm="1">
        <f t="array" ref="F22">IF(D22&lt;=INDEX($C$4:$C$7,B22),1,0)</f>
        <v>0</v>
      </c>
      <c r="G22" s="11">
        <v>77</v>
      </c>
      <c r="H22" s="13">
        <f t="shared" ca="1" si="6"/>
        <v>0</v>
      </c>
      <c r="I22" s="11">
        <f t="shared" ca="1" si="7"/>
        <v>67</v>
      </c>
      <c r="J22">
        <f t="shared" ca="1" si="5"/>
        <v>144</v>
      </c>
      <c r="K22">
        <f t="shared" ca="1" si="8"/>
        <v>0</v>
      </c>
      <c r="M22">
        <v>12</v>
      </c>
      <c r="N22">
        <v>242.0952380952381</v>
      </c>
      <c r="O22">
        <v>-14</v>
      </c>
      <c r="P22">
        <v>647</v>
      </c>
      <c r="Q22">
        <v>166.84463967070704</v>
      </c>
      <c r="R22">
        <v>661</v>
      </c>
      <c r="S22">
        <v>-12</v>
      </c>
      <c r="T22">
        <v>1</v>
      </c>
    </row>
    <row r="23" spans="2:30" x14ac:dyDescent="0.25">
      <c r="B23">
        <v>1</v>
      </c>
      <c r="C23">
        <v>13</v>
      </c>
      <c r="D23" s="12">
        <f t="shared" si="10"/>
        <v>6</v>
      </c>
      <c r="E23" s="11">
        <v>0</v>
      </c>
      <c r="F23" s="11" cm="1">
        <f t="array" ref="F23">IF(D23&lt;=INDEX($C$4:$C$7,B23),1,0)</f>
        <v>0</v>
      </c>
      <c r="G23" s="11">
        <v>0</v>
      </c>
      <c r="H23" s="13">
        <f t="shared" ca="1" si="6"/>
        <v>0</v>
      </c>
      <c r="I23" s="11">
        <f t="shared" ca="1" si="7"/>
        <v>144</v>
      </c>
      <c r="J23">
        <f t="shared" ca="1" si="5"/>
        <v>144</v>
      </c>
      <c r="K23">
        <f t="shared" ca="1" si="8"/>
        <v>0</v>
      </c>
      <c r="M23">
        <v>13</v>
      </c>
      <c r="N23">
        <v>242.44642857142858</v>
      </c>
      <c r="O23">
        <v>-13</v>
      </c>
      <c r="P23">
        <v>654</v>
      </c>
      <c r="Q23">
        <v>168.52341079875191</v>
      </c>
      <c r="R23">
        <v>667</v>
      </c>
      <c r="S23">
        <v>-12</v>
      </c>
      <c r="T23">
        <v>0</v>
      </c>
    </row>
    <row r="24" spans="2:30" x14ac:dyDescent="0.25">
      <c r="B24">
        <v>1</v>
      </c>
      <c r="C24">
        <v>14</v>
      </c>
      <c r="D24" s="16">
        <f t="shared" si="10"/>
        <v>7</v>
      </c>
      <c r="E24" s="14">
        <v>0</v>
      </c>
      <c r="F24" s="14" cm="1">
        <f t="array" ref="F24">IF(D24&lt;=INDEX($C$4:$C$7,B24),1,0)</f>
        <v>0</v>
      </c>
      <c r="G24" s="14">
        <v>0</v>
      </c>
      <c r="H24" s="13">
        <f t="shared" ca="1" si="6"/>
        <v>0</v>
      </c>
      <c r="I24" s="11">
        <f t="shared" ca="1" si="7"/>
        <v>144</v>
      </c>
      <c r="J24">
        <f t="shared" ca="1" si="5"/>
        <v>144</v>
      </c>
      <c r="K24">
        <f t="shared" ca="1" si="8"/>
        <v>0</v>
      </c>
      <c r="M24">
        <v>14</v>
      </c>
      <c r="N24">
        <v>250.80357142857142</v>
      </c>
      <c r="O24">
        <v>-13</v>
      </c>
      <c r="P24">
        <v>661</v>
      </c>
      <c r="Q24">
        <v>171.41547476014205</v>
      </c>
      <c r="R24">
        <v>674</v>
      </c>
      <c r="S24">
        <v>-12</v>
      </c>
      <c r="T24">
        <v>2</v>
      </c>
    </row>
    <row r="25" spans="2:30" x14ac:dyDescent="0.25">
      <c r="B25">
        <v>1</v>
      </c>
      <c r="C25">
        <v>15</v>
      </c>
      <c r="D25" s="8">
        <f t="shared" si="10"/>
        <v>1</v>
      </c>
      <c r="E25" s="9">
        <v>1</v>
      </c>
      <c r="F25" s="9" cm="1">
        <f t="array" ref="F25">IF(D25&lt;=INDEX($C$4:$C$7,B25),1,0)</f>
        <v>1</v>
      </c>
      <c r="G25" s="9">
        <v>96</v>
      </c>
      <c r="H25" s="13">
        <f t="shared" ca="1" si="6"/>
        <v>149</v>
      </c>
      <c r="I25" s="11">
        <f t="shared" ca="1" si="7"/>
        <v>144</v>
      </c>
      <c r="J25">
        <f t="shared" ca="1" si="5"/>
        <v>91</v>
      </c>
      <c r="K25">
        <f t="shared" ca="1" si="8"/>
        <v>0</v>
      </c>
      <c r="M25">
        <v>15</v>
      </c>
      <c r="N25">
        <v>250.44642857142858</v>
      </c>
      <c r="O25">
        <v>-13</v>
      </c>
      <c r="P25">
        <v>695</v>
      </c>
      <c r="Q25">
        <v>177.84673574686809</v>
      </c>
      <c r="R25">
        <v>708</v>
      </c>
      <c r="S25">
        <v>-12</v>
      </c>
      <c r="T25">
        <v>1</v>
      </c>
    </row>
    <row r="26" spans="2:30" x14ac:dyDescent="0.25">
      <c r="B26">
        <v>1</v>
      </c>
      <c r="C26">
        <v>16</v>
      </c>
      <c r="D26" s="12">
        <f t="shared" si="10"/>
        <v>2</v>
      </c>
      <c r="E26" s="11">
        <v>1</v>
      </c>
      <c r="F26" s="11" cm="1">
        <f t="array" ref="F26">IF(D26&lt;=INDEX($C$4:$C$7,B26),1,0)</f>
        <v>1</v>
      </c>
      <c r="G26" s="11">
        <v>96</v>
      </c>
      <c r="H26" s="13">
        <f t="shared" ca="1" si="6"/>
        <v>100</v>
      </c>
      <c r="I26" s="11">
        <f t="shared" ca="1" si="7"/>
        <v>91</v>
      </c>
      <c r="J26">
        <f t="shared" ca="1" si="5"/>
        <v>87</v>
      </c>
      <c r="K26">
        <f t="shared" ca="1" si="8"/>
        <v>0</v>
      </c>
      <c r="M26">
        <v>16</v>
      </c>
      <c r="N26">
        <v>213.60119047619048</v>
      </c>
      <c r="O26">
        <v>-15</v>
      </c>
      <c r="P26">
        <v>599</v>
      </c>
      <c r="Q26">
        <v>143.05768649481732</v>
      </c>
      <c r="R26">
        <v>614</v>
      </c>
      <c r="S26">
        <v>-12</v>
      </c>
      <c r="T26">
        <v>1</v>
      </c>
    </row>
    <row r="27" spans="2:30" x14ac:dyDescent="0.25">
      <c r="B27">
        <v>1</v>
      </c>
      <c r="C27">
        <v>17</v>
      </c>
      <c r="D27" s="12">
        <f t="shared" si="10"/>
        <v>3</v>
      </c>
      <c r="E27" s="11">
        <v>1</v>
      </c>
      <c r="F27" s="11" cm="1">
        <f t="array" ref="F27">IF(D27&lt;=INDEX($C$4:$C$7,B27),1,0)</f>
        <v>1</v>
      </c>
      <c r="G27" s="11">
        <v>95</v>
      </c>
      <c r="H27" s="13">
        <f t="shared" ca="1" si="6"/>
        <v>96</v>
      </c>
      <c r="I27" s="11">
        <f t="shared" ca="1" si="7"/>
        <v>87</v>
      </c>
      <c r="J27">
        <f t="shared" ca="1" si="5"/>
        <v>86</v>
      </c>
      <c r="K27">
        <f t="shared" ca="1" si="8"/>
        <v>0</v>
      </c>
      <c r="M27">
        <v>17</v>
      </c>
      <c r="N27">
        <v>262.01190476190476</v>
      </c>
      <c r="O27">
        <v>-13</v>
      </c>
      <c r="P27">
        <v>688</v>
      </c>
      <c r="Q27">
        <v>184.59289144645402</v>
      </c>
      <c r="R27">
        <v>701</v>
      </c>
      <c r="S27">
        <v>-12</v>
      </c>
      <c r="T27">
        <v>1</v>
      </c>
    </row>
    <row r="28" spans="2:30" x14ac:dyDescent="0.25">
      <c r="B28">
        <v>1</v>
      </c>
      <c r="C28">
        <v>18</v>
      </c>
      <c r="D28" s="12">
        <f t="shared" si="10"/>
        <v>4</v>
      </c>
      <c r="E28" s="11">
        <v>1</v>
      </c>
      <c r="F28" s="11" cm="1">
        <f t="array" ref="F28">IF(D28&lt;=INDEX($C$4:$C$7,B28),1,0)</f>
        <v>1</v>
      </c>
      <c r="G28" s="11">
        <v>104</v>
      </c>
      <c r="H28" s="13">
        <f t="shared" ca="1" si="6"/>
        <v>95</v>
      </c>
      <c r="I28" s="11">
        <f t="shared" ca="1" si="7"/>
        <v>86</v>
      </c>
      <c r="J28">
        <f t="shared" ca="1" si="5"/>
        <v>95</v>
      </c>
      <c r="K28">
        <f t="shared" ca="1" si="8"/>
        <v>0</v>
      </c>
      <c r="M28">
        <v>18</v>
      </c>
      <c r="N28">
        <v>276.52380952380952</v>
      </c>
      <c r="O28">
        <v>-13</v>
      </c>
      <c r="P28">
        <v>693</v>
      </c>
      <c r="Q28">
        <v>198.88962458217853</v>
      </c>
      <c r="R28">
        <v>706</v>
      </c>
      <c r="S28">
        <v>-12</v>
      </c>
      <c r="T28">
        <v>0</v>
      </c>
    </row>
    <row r="29" spans="2:30" x14ac:dyDescent="0.25">
      <c r="B29">
        <v>1</v>
      </c>
      <c r="C29">
        <v>19</v>
      </c>
      <c r="D29" s="12">
        <f t="shared" si="10"/>
        <v>5</v>
      </c>
      <c r="E29" s="11">
        <v>1</v>
      </c>
      <c r="F29" s="11" cm="1">
        <f t="array" ref="F29">IF(D29&lt;=INDEX($C$4:$C$7,B29),1,0)</f>
        <v>0</v>
      </c>
      <c r="G29" s="11">
        <v>88</v>
      </c>
      <c r="H29" s="13">
        <f t="shared" ca="1" si="6"/>
        <v>0</v>
      </c>
      <c r="I29" s="11">
        <f t="shared" ca="1" si="7"/>
        <v>95</v>
      </c>
      <c r="J29">
        <f t="shared" ca="1" si="5"/>
        <v>183</v>
      </c>
      <c r="K29">
        <f t="shared" ca="1" si="8"/>
        <v>0</v>
      </c>
      <c r="M29">
        <v>19</v>
      </c>
      <c r="N29">
        <v>259.0654761904762</v>
      </c>
      <c r="O29">
        <v>-15</v>
      </c>
      <c r="P29">
        <v>647</v>
      </c>
      <c r="Q29">
        <v>180.76632969378926</v>
      </c>
      <c r="R29">
        <v>662</v>
      </c>
      <c r="S29">
        <v>-12</v>
      </c>
      <c r="T29">
        <v>0</v>
      </c>
    </row>
    <row r="30" spans="2:30" x14ac:dyDescent="0.25">
      <c r="B30">
        <v>1</v>
      </c>
      <c r="C30">
        <v>20</v>
      </c>
      <c r="D30" s="12">
        <f t="shared" si="10"/>
        <v>6</v>
      </c>
      <c r="E30" s="11">
        <v>0</v>
      </c>
      <c r="F30" s="11" cm="1">
        <f t="array" ref="F30">IF(D30&lt;=INDEX($C$4:$C$7,B30),1,0)</f>
        <v>0</v>
      </c>
      <c r="G30" s="11">
        <v>0</v>
      </c>
      <c r="H30" s="13">
        <f t="shared" ca="1" si="6"/>
        <v>0</v>
      </c>
      <c r="I30" s="11">
        <f t="shared" ca="1" si="7"/>
        <v>183</v>
      </c>
      <c r="J30">
        <f t="shared" ca="1" si="5"/>
        <v>183</v>
      </c>
      <c r="K30">
        <f t="shared" ca="1" si="8"/>
        <v>0</v>
      </c>
      <c r="M30">
        <v>20</v>
      </c>
      <c r="N30">
        <v>252.98809523809524</v>
      </c>
      <c r="O30">
        <v>-14</v>
      </c>
      <c r="P30">
        <v>669</v>
      </c>
      <c r="Q30">
        <v>173.57720898010851</v>
      </c>
      <c r="R30">
        <v>683</v>
      </c>
      <c r="S30">
        <v>-12</v>
      </c>
      <c r="T30">
        <v>0</v>
      </c>
    </row>
    <row r="31" spans="2:30" x14ac:dyDescent="0.25">
      <c r="B31">
        <v>1</v>
      </c>
      <c r="C31">
        <v>21</v>
      </c>
      <c r="D31" s="16">
        <f t="shared" si="10"/>
        <v>7</v>
      </c>
      <c r="E31" s="14">
        <v>0</v>
      </c>
      <c r="F31" s="14" cm="1">
        <f t="array" ref="F31">IF(D31&lt;=INDEX($C$4:$C$7,B31),1,0)</f>
        <v>0</v>
      </c>
      <c r="G31" s="14">
        <v>0</v>
      </c>
      <c r="H31" s="13">
        <f t="shared" ca="1" si="6"/>
        <v>0</v>
      </c>
      <c r="I31" s="11">
        <f t="shared" ca="1" si="7"/>
        <v>183</v>
      </c>
      <c r="J31">
        <f t="shared" ca="1" si="5"/>
        <v>183</v>
      </c>
      <c r="K31">
        <f t="shared" ca="1" si="8"/>
        <v>0</v>
      </c>
      <c r="M31">
        <v>21</v>
      </c>
      <c r="N31">
        <v>236.45238095238096</v>
      </c>
      <c r="O31">
        <v>-13</v>
      </c>
      <c r="P31">
        <v>667</v>
      </c>
      <c r="Q31">
        <v>166.42922882900342</v>
      </c>
      <c r="R31">
        <v>680</v>
      </c>
      <c r="S31">
        <v>-12</v>
      </c>
      <c r="T31">
        <v>0</v>
      </c>
    </row>
    <row r="32" spans="2:30" x14ac:dyDescent="0.25">
      <c r="B32">
        <v>1</v>
      </c>
      <c r="C32">
        <v>22</v>
      </c>
      <c r="D32" s="8">
        <f t="shared" si="10"/>
        <v>1</v>
      </c>
      <c r="E32" s="9">
        <v>1</v>
      </c>
      <c r="F32" s="9" cm="1">
        <f t="array" ref="F32">IF(D32&lt;=INDEX($C$4:$C$7,B32),1,0)</f>
        <v>1</v>
      </c>
      <c r="G32" s="9">
        <v>77</v>
      </c>
      <c r="H32" s="13">
        <f t="shared" ca="1" si="6"/>
        <v>160</v>
      </c>
      <c r="I32" s="11">
        <f t="shared" ca="1" si="7"/>
        <v>183</v>
      </c>
      <c r="J32">
        <f t="shared" ca="1" si="5"/>
        <v>100</v>
      </c>
      <c r="K32">
        <f t="shared" ca="1" si="8"/>
        <v>0</v>
      </c>
      <c r="M32">
        <v>22</v>
      </c>
      <c r="N32">
        <v>237.8452380952381</v>
      </c>
      <c r="O32">
        <v>-14</v>
      </c>
      <c r="P32">
        <v>650</v>
      </c>
      <c r="Q32">
        <v>160.6553908842819</v>
      </c>
      <c r="R32">
        <v>664</v>
      </c>
      <c r="S32">
        <v>-12</v>
      </c>
      <c r="T32">
        <v>1</v>
      </c>
    </row>
    <row r="33" spans="2:20" x14ac:dyDescent="0.25">
      <c r="B33">
        <v>1</v>
      </c>
      <c r="C33">
        <v>23</v>
      </c>
      <c r="D33" s="12">
        <f t="shared" si="10"/>
        <v>2</v>
      </c>
      <c r="E33" s="11">
        <v>1</v>
      </c>
      <c r="F33" s="11" cm="1">
        <f t="array" ref="F33">IF(D33&lt;=INDEX($C$4:$C$7,B33),1,0)</f>
        <v>1</v>
      </c>
      <c r="G33" s="11">
        <v>86</v>
      </c>
      <c r="H33" s="13">
        <f t="shared" ca="1" si="6"/>
        <v>110</v>
      </c>
      <c r="I33" s="11">
        <f t="shared" ca="1" si="7"/>
        <v>100</v>
      </c>
      <c r="J33">
        <f t="shared" ca="1" si="5"/>
        <v>76</v>
      </c>
      <c r="K33">
        <f t="shared" ca="1" si="8"/>
        <v>0</v>
      </c>
      <c r="M33">
        <v>23</v>
      </c>
      <c r="N33">
        <v>245.10714285714286</v>
      </c>
      <c r="O33">
        <v>-13</v>
      </c>
      <c r="P33">
        <v>648</v>
      </c>
      <c r="Q33">
        <v>167.98033599892852</v>
      </c>
      <c r="R33">
        <v>661</v>
      </c>
      <c r="S33">
        <v>-12</v>
      </c>
      <c r="T33">
        <v>1</v>
      </c>
    </row>
    <row r="34" spans="2:20" x14ac:dyDescent="0.25">
      <c r="B34">
        <v>1</v>
      </c>
      <c r="C34">
        <v>24</v>
      </c>
      <c r="D34" s="12">
        <f t="shared" si="10"/>
        <v>3</v>
      </c>
      <c r="E34" s="11">
        <v>1</v>
      </c>
      <c r="F34" s="11" cm="1">
        <f t="array" ref="F34">IF(D34&lt;=INDEX($C$4:$C$7,B34),1,0)</f>
        <v>1</v>
      </c>
      <c r="G34" s="11">
        <v>86</v>
      </c>
      <c r="H34" s="13">
        <f t="shared" ca="1" si="6"/>
        <v>84</v>
      </c>
      <c r="I34" s="11">
        <f t="shared" ca="1" si="7"/>
        <v>76</v>
      </c>
      <c r="J34">
        <f t="shared" ca="1" si="5"/>
        <v>78</v>
      </c>
      <c r="K34">
        <f t="shared" ca="1" si="8"/>
        <v>0</v>
      </c>
      <c r="M34">
        <v>24</v>
      </c>
      <c r="N34">
        <v>231.36309523809524</v>
      </c>
      <c r="O34">
        <v>-14</v>
      </c>
      <c r="P34">
        <v>644</v>
      </c>
      <c r="Q34">
        <v>161.37679310335878</v>
      </c>
      <c r="R34">
        <v>658</v>
      </c>
      <c r="S34">
        <v>-12</v>
      </c>
      <c r="T34">
        <v>0</v>
      </c>
    </row>
    <row r="35" spans="2:20" x14ac:dyDescent="0.25">
      <c r="B35">
        <v>1</v>
      </c>
      <c r="C35">
        <v>25</v>
      </c>
      <c r="D35" s="12">
        <f t="shared" si="10"/>
        <v>4</v>
      </c>
      <c r="E35" s="11">
        <v>1</v>
      </c>
      <c r="F35" s="11" cm="1">
        <f t="array" ref="F35">IF(D35&lt;=INDEX($C$4:$C$7,B35),1,0)</f>
        <v>1</v>
      </c>
      <c r="G35" s="11">
        <v>93</v>
      </c>
      <c r="H35" s="13">
        <f t="shared" ca="1" si="6"/>
        <v>86</v>
      </c>
      <c r="I35" s="11">
        <f t="shared" ca="1" si="7"/>
        <v>78</v>
      </c>
      <c r="J35">
        <f t="shared" ca="1" si="5"/>
        <v>85</v>
      </c>
      <c r="K35">
        <f t="shared" ca="1" si="8"/>
        <v>0</v>
      </c>
      <c r="M35">
        <v>25</v>
      </c>
      <c r="N35">
        <v>268.33333333333331</v>
      </c>
      <c r="O35">
        <v>-13</v>
      </c>
      <c r="P35">
        <v>698</v>
      </c>
      <c r="Q35">
        <v>191.41890819012215</v>
      </c>
      <c r="R35">
        <v>711</v>
      </c>
      <c r="S35">
        <v>-12</v>
      </c>
      <c r="T35">
        <v>1</v>
      </c>
    </row>
    <row r="36" spans="2:20" x14ac:dyDescent="0.25">
      <c r="B36">
        <v>1</v>
      </c>
      <c r="C36">
        <v>26</v>
      </c>
      <c r="D36" s="12">
        <f t="shared" si="10"/>
        <v>5</v>
      </c>
      <c r="E36" s="11">
        <v>1</v>
      </c>
      <c r="F36" s="11" cm="1">
        <f t="array" ref="F36">IF(D36&lt;=INDEX($C$4:$C$7,B36),1,0)</f>
        <v>0</v>
      </c>
      <c r="G36" s="11">
        <v>99</v>
      </c>
      <c r="H36" s="13">
        <f t="shared" ca="1" si="6"/>
        <v>0</v>
      </c>
      <c r="I36" s="11">
        <f t="shared" ca="1" si="7"/>
        <v>85</v>
      </c>
      <c r="J36">
        <f t="shared" ca="1" si="5"/>
        <v>184</v>
      </c>
      <c r="K36">
        <f t="shared" ca="1" si="8"/>
        <v>0</v>
      </c>
      <c r="M36">
        <v>26</v>
      </c>
      <c r="N36">
        <v>259.1845238095238</v>
      </c>
      <c r="O36">
        <v>-14</v>
      </c>
      <c r="P36">
        <v>690</v>
      </c>
      <c r="Q36">
        <v>183.00990865319133</v>
      </c>
      <c r="R36">
        <v>704</v>
      </c>
      <c r="S36">
        <v>-12</v>
      </c>
      <c r="T36">
        <v>0</v>
      </c>
    </row>
    <row r="37" spans="2:20" x14ac:dyDescent="0.25">
      <c r="B37">
        <v>1</v>
      </c>
      <c r="C37">
        <v>27</v>
      </c>
      <c r="D37" s="12">
        <f t="shared" si="10"/>
        <v>6</v>
      </c>
      <c r="E37" s="11">
        <v>0</v>
      </c>
      <c r="F37" s="11" cm="1">
        <f t="array" ref="F37">IF(D37&lt;=INDEX($C$4:$C$7,B37),1,0)</f>
        <v>0</v>
      </c>
      <c r="G37" s="11">
        <v>0</v>
      </c>
      <c r="H37" s="13">
        <f t="shared" ca="1" si="6"/>
        <v>0</v>
      </c>
      <c r="I37" s="11">
        <f t="shared" ca="1" si="7"/>
        <v>184</v>
      </c>
      <c r="J37">
        <f t="shared" ca="1" si="5"/>
        <v>184</v>
      </c>
      <c r="K37">
        <f t="shared" ca="1" si="8"/>
        <v>0</v>
      </c>
      <c r="M37">
        <v>27</v>
      </c>
      <c r="N37">
        <v>247.11309523809524</v>
      </c>
      <c r="O37">
        <v>-13</v>
      </c>
      <c r="P37">
        <v>631</v>
      </c>
      <c r="Q37">
        <v>169.18535290632741</v>
      </c>
      <c r="R37">
        <v>644</v>
      </c>
      <c r="S37">
        <v>-12</v>
      </c>
      <c r="T37">
        <v>3</v>
      </c>
    </row>
    <row r="38" spans="2:20" x14ac:dyDescent="0.25">
      <c r="B38">
        <v>1</v>
      </c>
      <c r="C38">
        <v>28</v>
      </c>
      <c r="D38" s="16">
        <f t="shared" si="10"/>
        <v>7</v>
      </c>
      <c r="E38" s="14">
        <v>0</v>
      </c>
      <c r="F38" s="14" cm="1">
        <f t="array" ref="F38">IF(D38&lt;=INDEX($C$4:$C$7,B38),1,0)</f>
        <v>0</v>
      </c>
      <c r="G38" s="14">
        <v>0</v>
      </c>
      <c r="H38" s="13">
        <f t="shared" ca="1" si="6"/>
        <v>0</v>
      </c>
      <c r="I38" s="11">
        <f t="shared" ca="1" si="7"/>
        <v>184</v>
      </c>
      <c r="J38">
        <f t="shared" ca="1" si="5"/>
        <v>184</v>
      </c>
      <c r="K38">
        <f t="shared" ca="1" si="8"/>
        <v>0</v>
      </c>
      <c r="M38">
        <v>28</v>
      </c>
      <c r="N38">
        <v>250.13690476190476</v>
      </c>
      <c r="O38">
        <v>-13</v>
      </c>
      <c r="P38">
        <v>670</v>
      </c>
      <c r="Q38">
        <v>178.27960669086096</v>
      </c>
      <c r="R38">
        <v>683</v>
      </c>
      <c r="S38">
        <v>-13</v>
      </c>
      <c r="T38">
        <v>0</v>
      </c>
    </row>
    <row r="39" spans="2:20" x14ac:dyDescent="0.25">
      <c r="B39">
        <v>1</v>
      </c>
      <c r="C39">
        <v>29</v>
      </c>
      <c r="D39" s="8">
        <f t="shared" si="10"/>
        <v>1</v>
      </c>
      <c r="E39" s="9">
        <v>1</v>
      </c>
      <c r="F39" s="9" cm="1">
        <f t="array" ref="F39">IF(D39&lt;=INDEX($C$4:$C$7,B39),1,0)</f>
        <v>1</v>
      </c>
      <c r="G39" s="9">
        <v>65</v>
      </c>
      <c r="H39" s="13">
        <f t="shared" ca="1" si="6"/>
        <v>145</v>
      </c>
      <c r="I39" s="11">
        <f t="shared" ca="1" si="7"/>
        <v>184</v>
      </c>
      <c r="J39">
        <f t="shared" ca="1" si="5"/>
        <v>104</v>
      </c>
      <c r="K39">
        <f t="shared" ca="1" si="8"/>
        <v>0</v>
      </c>
      <c r="M39">
        <v>29</v>
      </c>
      <c r="N39">
        <v>261.29166666666669</v>
      </c>
      <c r="O39">
        <v>-13</v>
      </c>
      <c r="P39">
        <v>664</v>
      </c>
      <c r="Q39">
        <v>181.11898726970392</v>
      </c>
      <c r="R39">
        <v>677</v>
      </c>
      <c r="S39">
        <v>-12</v>
      </c>
      <c r="T39">
        <v>0</v>
      </c>
    </row>
    <row r="40" spans="2:20" x14ac:dyDescent="0.25">
      <c r="B40">
        <v>1</v>
      </c>
      <c r="C40">
        <v>30</v>
      </c>
      <c r="D40" s="12">
        <f t="shared" si="10"/>
        <v>2</v>
      </c>
      <c r="E40" s="11">
        <v>1</v>
      </c>
      <c r="F40" s="11" cm="1">
        <f t="array" ref="F40">IF(D40&lt;=INDEX($C$4:$C$7,B40),1,0)</f>
        <v>1</v>
      </c>
      <c r="G40" s="11">
        <v>79</v>
      </c>
      <c r="H40" s="13">
        <f t="shared" ca="1" si="6"/>
        <v>114</v>
      </c>
      <c r="I40" s="11">
        <f t="shared" ca="1" si="7"/>
        <v>104</v>
      </c>
      <c r="J40">
        <f t="shared" ca="1" si="5"/>
        <v>69</v>
      </c>
      <c r="K40">
        <f t="shared" ca="1" si="8"/>
        <v>0</v>
      </c>
      <c r="M40">
        <v>30</v>
      </c>
      <c r="N40">
        <v>266.80357142857144</v>
      </c>
      <c r="O40">
        <v>-13</v>
      </c>
      <c r="P40">
        <v>637</v>
      </c>
      <c r="Q40">
        <v>184.46709794795422</v>
      </c>
      <c r="R40">
        <v>650</v>
      </c>
      <c r="S40">
        <v>-12</v>
      </c>
      <c r="T40">
        <v>1</v>
      </c>
    </row>
    <row r="41" spans="2:20" x14ac:dyDescent="0.25">
      <c r="B41">
        <v>1</v>
      </c>
      <c r="C41">
        <v>31</v>
      </c>
      <c r="D41" s="12">
        <f t="shared" si="10"/>
        <v>3</v>
      </c>
      <c r="E41" s="11">
        <v>1</v>
      </c>
      <c r="F41" s="11" cm="1">
        <f t="array" ref="F41">IF(D41&lt;=INDEX($C$4:$C$7,B41),1,0)</f>
        <v>1</v>
      </c>
      <c r="G41" s="11">
        <v>90</v>
      </c>
      <c r="H41" s="13">
        <f t="shared" ca="1" si="6"/>
        <v>76</v>
      </c>
      <c r="I41" s="11">
        <f t="shared" ca="1" si="7"/>
        <v>69</v>
      </c>
      <c r="J41">
        <f t="shared" ca="1" si="5"/>
        <v>83</v>
      </c>
      <c r="K41">
        <f t="shared" ca="1" si="8"/>
        <v>0</v>
      </c>
      <c r="M41">
        <v>31</v>
      </c>
      <c r="N41">
        <v>276.78571428571428</v>
      </c>
      <c r="O41">
        <v>-14</v>
      </c>
      <c r="P41">
        <v>673</v>
      </c>
      <c r="Q41">
        <v>195.08185531235048</v>
      </c>
      <c r="R41">
        <v>687</v>
      </c>
      <c r="S41">
        <v>-12</v>
      </c>
      <c r="T41">
        <v>0</v>
      </c>
    </row>
    <row r="42" spans="2:20" x14ac:dyDescent="0.25">
      <c r="B42">
        <v>1</v>
      </c>
      <c r="C42">
        <v>32</v>
      </c>
      <c r="D42" s="12">
        <f t="shared" si="10"/>
        <v>4</v>
      </c>
      <c r="E42" s="11">
        <v>1</v>
      </c>
      <c r="F42" s="11" cm="1">
        <f t="array" ref="F42">IF(D42&lt;=INDEX($C$4:$C$7,B42),1,0)</f>
        <v>1</v>
      </c>
      <c r="G42" s="11">
        <v>105</v>
      </c>
      <c r="H42" s="13">
        <f t="shared" ca="1" si="6"/>
        <v>91</v>
      </c>
      <c r="I42" s="11">
        <f t="shared" ca="1" si="7"/>
        <v>83</v>
      </c>
      <c r="J42">
        <f t="shared" ca="1" si="5"/>
        <v>97</v>
      </c>
      <c r="K42">
        <f t="shared" ca="1" si="8"/>
        <v>0</v>
      </c>
      <c r="M42">
        <v>32</v>
      </c>
      <c r="N42">
        <v>280.45238095238096</v>
      </c>
      <c r="O42">
        <v>-14</v>
      </c>
      <c r="P42">
        <v>695</v>
      </c>
      <c r="Q42">
        <v>201.51892884989056</v>
      </c>
      <c r="R42">
        <v>709</v>
      </c>
      <c r="S42">
        <v>-12</v>
      </c>
      <c r="T42">
        <v>0</v>
      </c>
    </row>
    <row r="43" spans="2:20" x14ac:dyDescent="0.25">
      <c r="B43">
        <v>1</v>
      </c>
      <c r="C43">
        <v>33</v>
      </c>
      <c r="D43" s="12">
        <f t="shared" si="10"/>
        <v>5</v>
      </c>
      <c r="E43" s="11">
        <v>1</v>
      </c>
      <c r="F43" s="11" cm="1">
        <f t="array" ref="F43">IF(D43&lt;=INDEX($C$4:$C$7,B43),1,0)</f>
        <v>0</v>
      </c>
      <c r="G43" s="11">
        <v>99</v>
      </c>
      <c r="H43" s="13">
        <f t="shared" ca="1" si="6"/>
        <v>0</v>
      </c>
      <c r="I43" s="11">
        <f t="shared" ca="1" si="7"/>
        <v>97</v>
      </c>
      <c r="J43">
        <f t="shared" ca="1" si="5"/>
        <v>196</v>
      </c>
      <c r="K43">
        <f t="shared" ca="1" si="8"/>
        <v>0</v>
      </c>
      <c r="M43">
        <v>33</v>
      </c>
      <c r="N43">
        <v>255.64880952380952</v>
      </c>
      <c r="O43">
        <v>-13</v>
      </c>
      <c r="P43">
        <v>683</v>
      </c>
      <c r="Q43">
        <v>184.58070695372024</v>
      </c>
      <c r="R43">
        <v>696</v>
      </c>
      <c r="S43">
        <v>-12</v>
      </c>
      <c r="T43">
        <v>0</v>
      </c>
    </row>
    <row r="44" spans="2:20" x14ac:dyDescent="0.25">
      <c r="B44">
        <v>1</v>
      </c>
      <c r="C44">
        <v>34</v>
      </c>
      <c r="D44" s="12">
        <f t="shared" si="10"/>
        <v>6</v>
      </c>
      <c r="E44" s="11">
        <v>0</v>
      </c>
      <c r="F44" s="11" cm="1">
        <f t="array" ref="F44">IF(D44&lt;=INDEX($C$4:$C$7,B44),1,0)</f>
        <v>0</v>
      </c>
      <c r="G44" s="11">
        <v>0</v>
      </c>
      <c r="H44" s="13">
        <f t="shared" ca="1" si="6"/>
        <v>0</v>
      </c>
      <c r="I44" s="11">
        <f t="shared" ca="1" si="7"/>
        <v>196</v>
      </c>
      <c r="J44">
        <f t="shared" ca="1" si="5"/>
        <v>196</v>
      </c>
      <c r="K44">
        <f t="shared" ca="1" si="8"/>
        <v>0</v>
      </c>
      <c r="M44">
        <v>34</v>
      </c>
      <c r="N44">
        <v>269.04166666666669</v>
      </c>
      <c r="O44">
        <v>-13</v>
      </c>
      <c r="P44">
        <v>692</v>
      </c>
      <c r="Q44">
        <v>198.4812379932105</v>
      </c>
      <c r="R44">
        <v>705</v>
      </c>
      <c r="S44">
        <v>-12</v>
      </c>
      <c r="T44">
        <v>0</v>
      </c>
    </row>
    <row r="45" spans="2:20" x14ac:dyDescent="0.25">
      <c r="B45">
        <v>1</v>
      </c>
      <c r="C45">
        <v>35</v>
      </c>
      <c r="D45" s="16">
        <f t="shared" si="10"/>
        <v>7</v>
      </c>
      <c r="E45" s="14">
        <v>0</v>
      </c>
      <c r="F45" s="14" cm="1">
        <f t="array" ref="F45">IF(D45&lt;=INDEX($C$4:$C$7,B45),1,0)</f>
        <v>0</v>
      </c>
      <c r="G45" s="14">
        <v>0</v>
      </c>
      <c r="H45" s="13">
        <f t="shared" ca="1" si="6"/>
        <v>0</v>
      </c>
      <c r="I45" s="11">
        <f t="shared" ca="1" si="7"/>
        <v>196</v>
      </c>
      <c r="J45">
        <f t="shared" ca="1" si="5"/>
        <v>196</v>
      </c>
      <c r="K45">
        <f t="shared" ca="1" si="8"/>
        <v>0</v>
      </c>
      <c r="M45">
        <v>35</v>
      </c>
      <c r="N45">
        <v>253.72619047619048</v>
      </c>
      <c r="O45">
        <v>-15</v>
      </c>
      <c r="P45">
        <v>671</v>
      </c>
      <c r="Q45">
        <v>175.29311175384123</v>
      </c>
      <c r="R45">
        <v>686</v>
      </c>
      <c r="S45">
        <v>-12</v>
      </c>
      <c r="T45">
        <v>0</v>
      </c>
    </row>
    <row r="46" spans="2:20" x14ac:dyDescent="0.25">
      <c r="B46">
        <v>1</v>
      </c>
      <c r="C46">
        <v>36</v>
      </c>
      <c r="D46" s="8">
        <f t="shared" si="10"/>
        <v>1</v>
      </c>
      <c r="E46" s="9">
        <v>1</v>
      </c>
      <c r="F46" s="9" cm="1">
        <f t="array" ref="F46">IF(D46&lt;=INDEX($C$4:$C$7,B46),1,0)</f>
        <v>1</v>
      </c>
      <c r="G46" s="9">
        <v>137</v>
      </c>
      <c r="H46" s="13">
        <f t="shared" ca="1" si="6"/>
        <v>158</v>
      </c>
      <c r="I46" s="11">
        <f t="shared" ca="1" si="7"/>
        <v>196</v>
      </c>
      <c r="J46">
        <f t="shared" ca="1" si="5"/>
        <v>175</v>
      </c>
      <c r="K46">
        <f t="shared" ca="1" si="8"/>
        <v>0</v>
      </c>
      <c r="M46">
        <v>36</v>
      </c>
      <c r="N46">
        <v>256.80357142857144</v>
      </c>
      <c r="O46">
        <v>-14</v>
      </c>
      <c r="P46">
        <v>658</v>
      </c>
      <c r="Q46">
        <v>181.38873209243744</v>
      </c>
      <c r="R46">
        <v>672</v>
      </c>
      <c r="S46">
        <v>-12</v>
      </c>
      <c r="T46">
        <v>0</v>
      </c>
    </row>
    <row r="47" spans="2:20" x14ac:dyDescent="0.25">
      <c r="B47">
        <v>1</v>
      </c>
      <c r="C47">
        <v>37</v>
      </c>
      <c r="D47" s="12">
        <f t="shared" si="10"/>
        <v>2</v>
      </c>
      <c r="E47" s="11">
        <v>1</v>
      </c>
      <c r="F47" s="11" cm="1">
        <f t="array" ref="F47">IF(D47&lt;=INDEX($C$4:$C$7,B47),1,0)</f>
        <v>1</v>
      </c>
      <c r="G47" s="11">
        <v>105</v>
      </c>
      <c r="H47" s="13">
        <f t="shared" ca="1" si="6"/>
        <v>156</v>
      </c>
      <c r="I47" s="11">
        <f t="shared" ca="1" si="7"/>
        <v>175</v>
      </c>
      <c r="J47">
        <f t="shared" ca="1" si="5"/>
        <v>124</v>
      </c>
      <c r="K47">
        <f t="shared" ca="1" si="8"/>
        <v>0</v>
      </c>
      <c r="M47">
        <v>37</v>
      </c>
      <c r="N47">
        <v>237.67261904761904</v>
      </c>
      <c r="O47">
        <v>-13</v>
      </c>
      <c r="P47">
        <v>642</v>
      </c>
      <c r="Q47">
        <v>163.65747102320756</v>
      </c>
      <c r="R47">
        <v>655</v>
      </c>
      <c r="S47">
        <v>-12</v>
      </c>
      <c r="T47">
        <v>0</v>
      </c>
    </row>
    <row r="48" spans="2:20" x14ac:dyDescent="0.25">
      <c r="B48">
        <v>1</v>
      </c>
      <c r="C48">
        <v>38</v>
      </c>
      <c r="D48" s="12">
        <f t="shared" si="10"/>
        <v>3</v>
      </c>
      <c r="E48" s="11">
        <v>1</v>
      </c>
      <c r="F48" s="11" cm="1">
        <f t="array" ref="F48">IF(D48&lt;=INDEX($C$4:$C$7,B48),1,0)</f>
        <v>1</v>
      </c>
      <c r="G48" s="11">
        <v>106</v>
      </c>
      <c r="H48" s="13">
        <f t="shared" ca="1" si="6"/>
        <v>136</v>
      </c>
      <c r="I48" s="11">
        <f t="shared" ca="1" si="7"/>
        <v>124</v>
      </c>
      <c r="J48">
        <f t="shared" ca="1" si="5"/>
        <v>94</v>
      </c>
      <c r="K48">
        <f t="shared" ca="1" si="8"/>
        <v>0</v>
      </c>
      <c r="M48">
        <v>38</v>
      </c>
      <c r="N48">
        <v>271.33333333333331</v>
      </c>
      <c r="O48">
        <v>-13</v>
      </c>
      <c r="P48">
        <v>663</v>
      </c>
      <c r="Q48">
        <v>191.59796905508091</v>
      </c>
      <c r="R48">
        <v>676</v>
      </c>
      <c r="S48">
        <v>-12</v>
      </c>
      <c r="T48">
        <v>0</v>
      </c>
    </row>
    <row r="49" spans="2:20" x14ac:dyDescent="0.25">
      <c r="B49">
        <v>1</v>
      </c>
      <c r="C49">
        <v>39</v>
      </c>
      <c r="D49" s="12">
        <f t="shared" si="10"/>
        <v>4</v>
      </c>
      <c r="E49" s="11">
        <v>1</v>
      </c>
      <c r="F49" s="11" cm="1">
        <f t="array" ref="F49">IF(D49&lt;=INDEX($C$4:$C$7,B49),1,0)</f>
        <v>1</v>
      </c>
      <c r="G49" s="11">
        <v>84</v>
      </c>
      <c r="H49" s="13">
        <f t="shared" ca="1" si="6"/>
        <v>103</v>
      </c>
      <c r="I49" s="11">
        <f t="shared" ca="1" si="7"/>
        <v>94</v>
      </c>
      <c r="J49">
        <f t="shared" ca="1" si="5"/>
        <v>75</v>
      </c>
      <c r="K49">
        <f t="shared" ca="1" si="8"/>
        <v>0</v>
      </c>
      <c r="M49">
        <v>39</v>
      </c>
      <c r="N49">
        <v>255.4047619047619</v>
      </c>
      <c r="O49">
        <v>-13</v>
      </c>
      <c r="P49">
        <v>677</v>
      </c>
      <c r="Q49">
        <v>177.70508735700946</v>
      </c>
      <c r="R49">
        <v>690</v>
      </c>
      <c r="S49">
        <v>-12</v>
      </c>
      <c r="T49">
        <v>0</v>
      </c>
    </row>
    <row r="50" spans="2:20" x14ac:dyDescent="0.25">
      <c r="B50">
        <v>1</v>
      </c>
      <c r="C50">
        <v>40</v>
      </c>
      <c r="D50" s="12">
        <f t="shared" si="10"/>
        <v>5</v>
      </c>
      <c r="E50" s="11">
        <v>1</v>
      </c>
      <c r="F50" s="11" cm="1">
        <f t="array" ref="F50">IF(D50&lt;=INDEX($C$4:$C$7,B50),1,0)</f>
        <v>0</v>
      </c>
      <c r="G50" s="11">
        <v>122</v>
      </c>
      <c r="H50" s="13">
        <f t="shared" ca="1" si="6"/>
        <v>0</v>
      </c>
      <c r="I50" s="11">
        <f t="shared" ca="1" si="7"/>
        <v>75</v>
      </c>
      <c r="J50">
        <f t="shared" ca="1" si="5"/>
        <v>197</v>
      </c>
      <c r="K50">
        <f t="shared" ca="1" si="8"/>
        <v>0</v>
      </c>
      <c r="M50">
        <v>40</v>
      </c>
      <c r="N50">
        <v>280.16666666666669</v>
      </c>
      <c r="O50">
        <v>-13</v>
      </c>
      <c r="P50">
        <v>723</v>
      </c>
      <c r="Q50">
        <v>202.25613377792442</v>
      </c>
      <c r="R50">
        <v>736</v>
      </c>
      <c r="S50">
        <v>-12</v>
      </c>
      <c r="T50">
        <v>0</v>
      </c>
    </row>
    <row r="51" spans="2:20" x14ac:dyDescent="0.25">
      <c r="B51">
        <v>1</v>
      </c>
      <c r="C51">
        <v>41</v>
      </c>
      <c r="D51" s="12">
        <f t="shared" si="10"/>
        <v>6</v>
      </c>
      <c r="E51" s="11">
        <v>0</v>
      </c>
      <c r="F51" s="11" cm="1">
        <f t="array" ref="F51">IF(D51&lt;=INDEX($C$4:$C$7,B51),1,0)</f>
        <v>0</v>
      </c>
      <c r="G51" s="11">
        <v>0</v>
      </c>
      <c r="H51" s="13">
        <f t="shared" ca="1" si="6"/>
        <v>0</v>
      </c>
      <c r="I51" s="11">
        <f t="shared" ca="1" si="7"/>
        <v>197</v>
      </c>
      <c r="J51">
        <f t="shared" ca="1" si="5"/>
        <v>197</v>
      </c>
      <c r="K51">
        <f t="shared" ca="1" si="8"/>
        <v>0</v>
      </c>
      <c r="M51">
        <v>41</v>
      </c>
      <c r="N51">
        <v>243.71428571428572</v>
      </c>
      <c r="O51">
        <v>-13</v>
      </c>
      <c r="P51">
        <v>651</v>
      </c>
      <c r="Q51">
        <v>168.97802558099588</v>
      </c>
      <c r="R51">
        <v>664</v>
      </c>
      <c r="S51">
        <v>-12</v>
      </c>
      <c r="T51">
        <v>0</v>
      </c>
    </row>
    <row r="52" spans="2:20" x14ac:dyDescent="0.25">
      <c r="B52">
        <v>1</v>
      </c>
      <c r="C52">
        <v>42</v>
      </c>
      <c r="D52" s="16">
        <f t="shared" si="10"/>
        <v>7</v>
      </c>
      <c r="E52" s="14">
        <v>0</v>
      </c>
      <c r="F52" s="14" cm="1">
        <f t="array" ref="F52">IF(D52&lt;=INDEX($C$4:$C$7,B52),1,0)</f>
        <v>0</v>
      </c>
      <c r="G52" s="14">
        <v>0</v>
      </c>
      <c r="H52" s="13">
        <f t="shared" ca="1" si="6"/>
        <v>0</v>
      </c>
      <c r="I52" s="11">
        <f t="shared" ca="1" si="7"/>
        <v>197</v>
      </c>
      <c r="J52">
        <f t="shared" ca="1" si="5"/>
        <v>197</v>
      </c>
      <c r="K52">
        <f t="shared" ca="1" si="8"/>
        <v>0</v>
      </c>
      <c r="M52">
        <v>42</v>
      </c>
      <c r="N52">
        <v>260.02380952380952</v>
      </c>
      <c r="O52">
        <v>-13</v>
      </c>
      <c r="P52">
        <v>695</v>
      </c>
      <c r="Q52">
        <v>189.33712539318375</v>
      </c>
      <c r="R52">
        <v>708</v>
      </c>
      <c r="S52">
        <v>-12</v>
      </c>
      <c r="T52">
        <v>1</v>
      </c>
    </row>
    <row r="53" spans="2:20" x14ac:dyDescent="0.25">
      <c r="B53">
        <v>2</v>
      </c>
      <c r="C53">
        <v>43</v>
      </c>
      <c r="D53" s="8">
        <f t="shared" si="10"/>
        <v>1</v>
      </c>
      <c r="E53" s="9">
        <v>1</v>
      </c>
      <c r="F53" s="9" cm="1">
        <f t="array" ref="F53">IF(D53&lt;=INDEX($C$4:$C$7,B53),1,0)</f>
        <v>1</v>
      </c>
      <c r="G53" s="9">
        <v>136</v>
      </c>
      <c r="H53" s="13">
        <f t="shared" ca="1" si="6"/>
        <v>168</v>
      </c>
      <c r="I53" s="11">
        <f t="shared" ca="1" si="7"/>
        <v>197</v>
      </c>
      <c r="J53">
        <f t="shared" ca="1" si="5"/>
        <v>165</v>
      </c>
      <c r="K53">
        <f t="shared" ca="1" si="8"/>
        <v>0</v>
      </c>
      <c r="M53">
        <v>43</v>
      </c>
      <c r="N53">
        <v>240.51785714285714</v>
      </c>
      <c r="O53">
        <v>-15</v>
      </c>
      <c r="P53">
        <v>633</v>
      </c>
      <c r="Q53">
        <v>165.11990496138188</v>
      </c>
      <c r="R53">
        <v>648</v>
      </c>
      <c r="S53">
        <v>-12</v>
      </c>
      <c r="T53">
        <v>1</v>
      </c>
    </row>
    <row r="54" spans="2:20" x14ac:dyDescent="0.25">
      <c r="B54">
        <v>2</v>
      </c>
      <c r="C54">
        <v>44</v>
      </c>
      <c r="D54" s="12">
        <f t="shared" si="10"/>
        <v>2</v>
      </c>
      <c r="E54" s="11">
        <v>1</v>
      </c>
      <c r="F54" s="11" cm="1">
        <f t="array" ref="F54">IF(D54&lt;=INDEX($C$4:$C$7,B54),1,0)</f>
        <v>1</v>
      </c>
      <c r="G54" s="11">
        <v>18</v>
      </c>
      <c r="H54" s="13">
        <f t="shared" ca="1" si="6"/>
        <v>175</v>
      </c>
      <c r="I54" s="11">
        <f t="shared" ca="1" si="7"/>
        <v>165</v>
      </c>
      <c r="J54">
        <f t="shared" ca="1" si="5"/>
        <v>8</v>
      </c>
      <c r="K54">
        <f t="shared" ca="1" si="8"/>
        <v>0</v>
      </c>
      <c r="M54">
        <v>44</v>
      </c>
      <c r="N54">
        <v>253.38690476190476</v>
      </c>
      <c r="O54">
        <v>-13</v>
      </c>
      <c r="P54">
        <v>642</v>
      </c>
      <c r="Q54">
        <v>175.19601014684062</v>
      </c>
      <c r="R54">
        <v>655</v>
      </c>
      <c r="S54">
        <v>-12</v>
      </c>
      <c r="T54">
        <v>0</v>
      </c>
    </row>
    <row r="55" spans="2:20" x14ac:dyDescent="0.25">
      <c r="B55">
        <v>2</v>
      </c>
      <c r="C55">
        <v>45</v>
      </c>
      <c r="D55" s="12">
        <f t="shared" si="10"/>
        <v>3</v>
      </c>
      <c r="E55" s="11">
        <v>1</v>
      </c>
      <c r="F55" s="11" cm="1">
        <f t="array" ref="F55">IF(D55&lt;=INDEX($C$4:$C$7,B55),1,0)</f>
        <v>1</v>
      </c>
      <c r="G55" s="11">
        <v>38</v>
      </c>
      <c r="H55" s="13">
        <f t="shared" ca="1" si="6"/>
        <v>9</v>
      </c>
      <c r="I55" s="11">
        <f t="shared" ca="1" si="7"/>
        <v>8</v>
      </c>
      <c r="J55">
        <f t="shared" ca="1" si="5"/>
        <v>37</v>
      </c>
      <c r="K55">
        <f t="shared" ca="1" si="8"/>
        <v>0</v>
      </c>
      <c r="M55">
        <v>45</v>
      </c>
      <c r="N55">
        <v>236.39880952380952</v>
      </c>
      <c r="O55">
        <v>-13</v>
      </c>
      <c r="P55">
        <v>644</v>
      </c>
      <c r="Q55">
        <v>160.5098328052029</v>
      </c>
      <c r="R55">
        <v>657</v>
      </c>
      <c r="S55">
        <v>-12</v>
      </c>
      <c r="T55">
        <v>0</v>
      </c>
    </row>
    <row r="56" spans="2:20" x14ac:dyDescent="0.25">
      <c r="B56">
        <v>2</v>
      </c>
      <c r="C56">
        <v>46</v>
      </c>
      <c r="D56" s="12">
        <f t="shared" si="10"/>
        <v>4</v>
      </c>
      <c r="E56" s="11">
        <v>1</v>
      </c>
      <c r="F56" s="11" cm="1">
        <f t="array" ref="F56">IF(D56&lt;=INDEX($C$4:$C$7,B56),1,0)</f>
        <v>1</v>
      </c>
      <c r="G56" s="11">
        <v>141</v>
      </c>
      <c r="H56" s="13">
        <f t="shared" ca="1" si="6"/>
        <v>41</v>
      </c>
      <c r="I56" s="11">
        <f t="shared" ca="1" si="7"/>
        <v>37</v>
      </c>
      <c r="J56">
        <f t="shared" ca="1" si="5"/>
        <v>137</v>
      </c>
      <c r="K56">
        <f t="shared" ca="1" si="8"/>
        <v>0</v>
      </c>
      <c r="M56">
        <v>46</v>
      </c>
      <c r="N56">
        <v>245.36309523809524</v>
      </c>
      <c r="O56">
        <v>-15</v>
      </c>
      <c r="P56">
        <v>631</v>
      </c>
      <c r="Q56">
        <v>170.82243027675727</v>
      </c>
      <c r="R56">
        <v>646</v>
      </c>
      <c r="S56">
        <v>-12</v>
      </c>
      <c r="T56">
        <v>1</v>
      </c>
    </row>
    <row r="57" spans="2:20" x14ac:dyDescent="0.25">
      <c r="B57">
        <v>2</v>
      </c>
      <c r="C57">
        <v>47</v>
      </c>
      <c r="D57" s="12">
        <f t="shared" si="10"/>
        <v>5</v>
      </c>
      <c r="E57" s="11">
        <v>1</v>
      </c>
      <c r="F57" s="11" cm="1">
        <f t="array" ref="F57">IF(D57&lt;=INDEX($C$4:$C$7,B57),1,0)</f>
        <v>0</v>
      </c>
      <c r="G57" s="11">
        <v>121</v>
      </c>
      <c r="H57" s="13">
        <f t="shared" ca="1" si="6"/>
        <v>0</v>
      </c>
      <c r="I57" s="11">
        <f t="shared" ca="1" si="7"/>
        <v>137</v>
      </c>
      <c r="J57">
        <f t="shared" ca="1" si="5"/>
        <v>258</v>
      </c>
      <c r="K57">
        <f t="shared" ca="1" si="8"/>
        <v>0</v>
      </c>
      <c r="M57">
        <v>47</v>
      </c>
      <c r="N57">
        <v>229.27380952380952</v>
      </c>
      <c r="O57">
        <v>-13</v>
      </c>
      <c r="P57">
        <v>626</v>
      </c>
      <c r="Q57">
        <v>156.2713110183449</v>
      </c>
      <c r="R57">
        <v>639</v>
      </c>
      <c r="S57">
        <v>-12</v>
      </c>
      <c r="T57">
        <v>0</v>
      </c>
    </row>
    <row r="58" spans="2:20" x14ac:dyDescent="0.25">
      <c r="B58">
        <v>2</v>
      </c>
      <c r="C58">
        <v>48</v>
      </c>
      <c r="D58" s="12">
        <f t="shared" si="10"/>
        <v>6</v>
      </c>
      <c r="E58" s="11">
        <v>0</v>
      </c>
      <c r="F58" s="11" cm="1">
        <f t="array" ref="F58">IF(D58&lt;=INDEX($C$4:$C$7,B58),1,0)</f>
        <v>0</v>
      </c>
      <c r="G58" s="11">
        <v>0</v>
      </c>
      <c r="H58" s="13">
        <f t="shared" ca="1" si="6"/>
        <v>0</v>
      </c>
      <c r="I58" s="11">
        <f t="shared" ca="1" si="7"/>
        <v>258</v>
      </c>
      <c r="J58">
        <f t="shared" ca="1" si="5"/>
        <v>258</v>
      </c>
      <c r="K58">
        <f t="shared" ca="1" si="8"/>
        <v>0</v>
      </c>
      <c r="M58">
        <v>48</v>
      </c>
      <c r="N58">
        <v>269.71428571428572</v>
      </c>
      <c r="O58">
        <v>-13</v>
      </c>
      <c r="P58">
        <v>707</v>
      </c>
      <c r="Q58">
        <v>196.26534343590464</v>
      </c>
      <c r="R58">
        <v>720</v>
      </c>
      <c r="S58">
        <v>-12</v>
      </c>
      <c r="T58">
        <v>3</v>
      </c>
    </row>
    <row r="59" spans="2:20" x14ac:dyDescent="0.25">
      <c r="B59">
        <v>2</v>
      </c>
      <c r="C59">
        <v>49</v>
      </c>
      <c r="D59" s="16">
        <f t="shared" si="10"/>
        <v>7</v>
      </c>
      <c r="E59" s="14">
        <v>0</v>
      </c>
      <c r="F59" s="14" cm="1">
        <f t="array" ref="F59">IF(D59&lt;=INDEX($C$4:$C$7,B59),1,0)</f>
        <v>0</v>
      </c>
      <c r="G59" s="14">
        <v>0</v>
      </c>
      <c r="H59" s="13">
        <f t="shared" ca="1" si="6"/>
        <v>0</v>
      </c>
      <c r="I59" s="11">
        <f t="shared" ca="1" si="7"/>
        <v>258</v>
      </c>
      <c r="J59">
        <f t="shared" ca="1" si="5"/>
        <v>258</v>
      </c>
      <c r="K59">
        <f t="shared" ca="1" si="8"/>
        <v>0</v>
      </c>
      <c r="M59">
        <v>49</v>
      </c>
      <c r="N59">
        <v>251.11904761904762</v>
      </c>
      <c r="O59">
        <v>-14</v>
      </c>
      <c r="P59">
        <v>656</v>
      </c>
      <c r="Q59">
        <v>181.42139874585493</v>
      </c>
      <c r="R59">
        <v>670</v>
      </c>
      <c r="S59">
        <v>-12</v>
      </c>
      <c r="T59">
        <v>0</v>
      </c>
    </row>
    <row r="60" spans="2:20" x14ac:dyDescent="0.25">
      <c r="B60">
        <v>2</v>
      </c>
      <c r="C60">
        <v>50</v>
      </c>
      <c r="D60" s="8">
        <f t="shared" si="10"/>
        <v>1</v>
      </c>
      <c r="E60" s="9">
        <v>1</v>
      </c>
      <c r="F60" s="9" cm="1">
        <f t="array" ref="F60">IF(D60&lt;=INDEX($C$4:$C$7,B60),1,0)</f>
        <v>1</v>
      </c>
      <c r="G60" s="9">
        <v>93</v>
      </c>
      <c r="H60" s="13">
        <f t="shared" ca="1" si="6"/>
        <v>169</v>
      </c>
      <c r="I60" s="11">
        <f t="shared" ca="1" si="7"/>
        <v>258</v>
      </c>
      <c r="J60">
        <f t="shared" ca="1" si="5"/>
        <v>182</v>
      </c>
      <c r="K60">
        <f t="shared" ca="1" si="8"/>
        <v>0</v>
      </c>
      <c r="M60">
        <v>50</v>
      </c>
      <c r="N60">
        <v>218.1904761904762</v>
      </c>
      <c r="O60">
        <v>-13</v>
      </c>
      <c r="P60">
        <v>567</v>
      </c>
      <c r="Q60">
        <v>143.45328393313906</v>
      </c>
      <c r="R60">
        <v>580</v>
      </c>
      <c r="S60">
        <v>-12</v>
      </c>
      <c r="T60">
        <v>0</v>
      </c>
    </row>
    <row r="61" spans="2:20" x14ac:dyDescent="0.25">
      <c r="B61">
        <v>2</v>
      </c>
      <c r="C61">
        <v>51</v>
      </c>
      <c r="D61" s="12">
        <f t="shared" si="10"/>
        <v>2</v>
      </c>
      <c r="E61" s="11">
        <v>1</v>
      </c>
      <c r="F61" s="11" cm="1">
        <f t="array" ref="F61">IF(D61&lt;=INDEX($C$4:$C$7,B61),1,0)</f>
        <v>1</v>
      </c>
      <c r="G61" s="11">
        <v>77</v>
      </c>
      <c r="H61" s="13">
        <f t="shared" ca="1" si="6"/>
        <v>144</v>
      </c>
      <c r="I61" s="11">
        <f t="shared" ca="1" si="7"/>
        <v>182</v>
      </c>
      <c r="J61">
        <f t="shared" ca="1" si="5"/>
        <v>115</v>
      </c>
      <c r="K61">
        <f t="shared" ca="1" si="8"/>
        <v>0</v>
      </c>
      <c r="M61">
        <v>51</v>
      </c>
      <c r="N61">
        <v>271.88690476190476</v>
      </c>
      <c r="O61">
        <v>-13</v>
      </c>
      <c r="P61">
        <v>720</v>
      </c>
      <c r="Q61">
        <v>201.83569536569303</v>
      </c>
      <c r="R61">
        <v>733</v>
      </c>
      <c r="S61">
        <v>-12</v>
      </c>
      <c r="T61">
        <v>1</v>
      </c>
    </row>
    <row r="62" spans="2:20" x14ac:dyDescent="0.25">
      <c r="B62">
        <v>2</v>
      </c>
      <c r="C62">
        <v>52</v>
      </c>
      <c r="D62" s="12">
        <f t="shared" si="10"/>
        <v>3</v>
      </c>
      <c r="E62" s="11">
        <v>1</v>
      </c>
      <c r="F62" s="11" cm="1">
        <f t="array" ref="F62">IF(D62&lt;=INDEX($C$4:$C$7,B62),1,0)</f>
        <v>1</v>
      </c>
      <c r="G62" s="11">
        <v>126</v>
      </c>
      <c r="H62" s="13">
        <f t="shared" ca="1" si="6"/>
        <v>127</v>
      </c>
      <c r="I62" s="11">
        <f t="shared" ca="1" si="7"/>
        <v>115</v>
      </c>
      <c r="J62">
        <f t="shared" ca="1" si="5"/>
        <v>114</v>
      </c>
      <c r="K62">
        <f t="shared" ca="1" si="8"/>
        <v>0</v>
      </c>
      <c r="M62">
        <v>52</v>
      </c>
      <c r="N62">
        <v>242.71428571428572</v>
      </c>
      <c r="O62">
        <v>-13</v>
      </c>
      <c r="P62">
        <v>633</v>
      </c>
      <c r="Q62">
        <v>165.52535925900636</v>
      </c>
      <c r="R62">
        <v>646</v>
      </c>
      <c r="S62">
        <v>-12</v>
      </c>
      <c r="T62">
        <v>0</v>
      </c>
    </row>
    <row r="63" spans="2:20" x14ac:dyDescent="0.25">
      <c r="B63">
        <v>2</v>
      </c>
      <c r="C63">
        <v>53</v>
      </c>
      <c r="D63" s="12">
        <f t="shared" si="10"/>
        <v>4</v>
      </c>
      <c r="E63" s="11">
        <v>1</v>
      </c>
      <c r="F63" s="11" cm="1">
        <f t="array" ref="F63">IF(D63&lt;=INDEX($C$4:$C$7,B63),1,0)</f>
        <v>1</v>
      </c>
      <c r="G63" s="11">
        <v>129</v>
      </c>
      <c r="H63" s="13">
        <f t="shared" ca="1" si="6"/>
        <v>125</v>
      </c>
      <c r="I63" s="11">
        <f t="shared" ca="1" si="7"/>
        <v>114</v>
      </c>
      <c r="J63">
        <f t="shared" ca="1" si="5"/>
        <v>118</v>
      </c>
      <c r="K63">
        <f t="shared" ca="1" si="8"/>
        <v>0</v>
      </c>
      <c r="M63">
        <v>53</v>
      </c>
      <c r="N63">
        <v>256.39285714285717</v>
      </c>
      <c r="O63">
        <v>-15</v>
      </c>
      <c r="P63">
        <v>675</v>
      </c>
      <c r="Q63">
        <v>182.01308285376624</v>
      </c>
      <c r="R63">
        <v>690</v>
      </c>
      <c r="S63">
        <v>-12</v>
      </c>
      <c r="T63">
        <v>0</v>
      </c>
    </row>
    <row r="64" spans="2:20" x14ac:dyDescent="0.25">
      <c r="B64">
        <v>2</v>
      </c>
      <c r="C64">
        <v>54</v>
      </c>
      <c r="D64" s="12">
        <f t="shared" si="10"/>
        <v>5</v>
      </c>
      <c r="E64" s="11">
        <v>1</v>
      </c>
      <c r="F64" s="11" cm="1">
        <f t="array" ref="F64">IF(D64&lt;=INDEX($C$4:$C$7,B64),1,0)</f>
        <v>0</v>
      </c>
      <c r="G64" s="11">
        <v>102</v>
      </c>
      <c r="H64" s="13">
        <f t="shared" ca="1" si="6"/>
        <v>0</v>
      </c>
      <c r="I64" s="11">
        <f t="shared" ca="1" si="7"/>
        <v>118</v>
      </c>
      <c r="J64">
        <f t="shared" ca="1" si="5"/>
        <v>220</v>
      </c>
      <c r="K64">
        <f t="shared" ca="1" si="8"/>
        <v>0</v>
      </c>
      <c r="M64">
        <v>54</v>
      </c>
      <c r="N64">
        <v>261.24404761904759</v>
      </c>
      <c r="O64">
        <v>-13</v>
      </c>
      <c r="P64">
        <v>696</v>
      </c>
      <c r="Q64">
        <v>186.57771574383744</v>
      </c>
      <c r="R64">
        <v>709</v>
      </c>
      <c r="S64">
        <v>-12</v>
      </c>
      <c r="T64">
        <v>1</v>
      </c>
    </row>
    <row r="65" spans="2:20" x14ac:dyDescent="0.25">
      <c r="B65">
        <v>2</v>
      </c>
      <c r="C65">
        <v>55</v>
      </c>
      <c r="D65" s="12">
        <f t="shared" si="10"/>
        <v>6</v>
      </c>
      <c r="E65" s="11">
        <v>0</v>
      </c>
      <c r="F65" s="11" cm="1">
        <f t="array" ref="F65">IF(D65&lt;=INDEX($C$4:$C$7,B65),1,0)</f>
        <v>0</v>
      </c>
      <c r="G65" s="11">
        <v>0</v>
      </c>
      <c r="H65" s="13">
        <f t="shared" ca="1" si="6"/>
        <v>0</v>
      </c>
      <c r="I65" s="11">
        <f t="shared" ca="1" si="7"/>
        <v>220</v>
      </c>
      <c r="J65">
        <f t="shared" ca="1" si="5"/>
        <v>220</v>
      </c>
      <c r="K65">
        <f t="shared" ca="1" si="8"/>
        <v>0</v>
      </c>
      <c r="M65">
        <v>55</v>
      </c>
      <c r="N65">
        <v>260.96428571428572</v>
      </c>
      <c r="O65">
        <v>-13</v>
      </c>
      <c r="P65">
        <v>645</v>
      </c>
      <c r="Q65">
        <v>188.04887576603787</v>
      </c>
      <c r="R65">
        <v>658</v>
      </c>
      <c r="S65">
        <v>-12</v>
      </c>
      <c r="T65">
        <v>0</v>
      </c>
    </row>
    <row r="66" spans="2:20" x14ac:dyDescent="0.25">
      <c r="B66">
        <v>2</v>
      </c>
      <c r="C66">
        <v>56</v>
      </c>
      <c r="D66" s="16">
        <f t="shared" si="10"/>
        <v>7</v>
      </c>
      <c r="E66" s="14">
        <v>0</v>
      </c>
      <c r="F66" s="14" cm="1">
        <f t="array" ref="F66">IF(D66&lt;=INDEX($C$4:$C$7,B66),1,0)</f>
        <v>0</v>
      </c>
      <c r="G66" s="14">
        <v>0</v>
      </c>
      <c r="H66" s="13">
        <f t="shared" ca="1" si="6"/>
        <v>0</v>
      </c>
      <c r="I66" s="11">
        <f t="shared" ca="1" si="7"/>
        <v>220</v>
      </c>
      <c r="J66">
        <f t="shared" ca="1" si="5"/>
        <v>220</v>
      </c>
      <c r="K66">
        <f t="shared" ca="1" si="8"/>
        <v>0</v>
      </c>
      <c r="M66">
        <v>56</v>
      </c>
      <c r="N66">
        <v>236.32142857142858</v>
      </c>
      <c r="O66">
        <v>-16</v>
      </c>
      <c r="P66">
        <v>623</v>
      </c>
      <c r="Q66">
        <v>160.62394418510036</v>
      </c>
      <c r="R66">
        <v>639</v>
      </c>
      <c r="S66">
        <v>-12</v>
      </c>
      <c r="T66">
        <v>1</v>
      </c>
    </row>
    <row r="67" spans="2:20" x14ac:dyDescent="0.25">
      <c r="B67">
        <v>2</v>
      </c>
      <c r="C67">
        <v>57</v>
      </c>
      <c r="D67" s="8">
        <f t="shared" si="10"/>
        <v>1</v>
      </c>
      <c r="E67" s="9">
        <v>1</v>
      </c>
      <c r="F67" s="9" cm="1">
        <f t="array" ref="F67">IF(D67&lt;=INDEX($C$4:$C$7,B67),1,0)</f>
        <v>1</v>
      </c>
      <c r="G67" s="9">
        <v>126</v>
      </c>
      <c r="H67" s="13">
        <f t="shared" ca="1" si="6"/>
        <v>162</v>
      </c>
      <c r="I67" s="11">
        <f t="shared" ca="1" si="7"/>
        <v>220</v>
      </c>
      <c r="J67">
        <f t="shared" ca="1" si="5"/>
        <v>184</v>
      </c>
      <c r="K67">
        <f t="shared" ca="1" si="8"/>
        <v>0</v>
      </c>
      <c r="M67">
        <v>57</v>
      </c>
      <c r="N67">
        <v>238.9404761904762</v>
      </c>
      <c r="O67">
        <v>-13</v>
      </c>
      <c r="P67">
        <v>700</v>
      </c>
      <c r="Q67">
        <v>174.45908588374607</v>
      </c>
      <c r="R67">
        <v>713</v>
      </c>
      <c r="S67">
        <v>-12</v>
      </c>
      <c r="T67">
        <v>0</v>
      </c>
    </row>
    <row r="68" spans="2:20" x14ac:dyDescent="0.25">
      <c r="B68">
        <v>2</v>
      </c>
      <c r="C68">
        <v>58</v>
      </c>
      <c r="D68" s="12">
        <f t="shared" si="10"/>
        <v>2</v>
      </c>
      <c r="E68" s="11">
        <v>1</v>
      </c>
      <c r="F68" s="11" cm="1">
        <f t="array" ref="F68">IF(D68&lt;=INDEX($C$4:$C$7,B68),1,0)</f>
        <v>1</v>
      </c>
      <c r="G68" s="11">
        <v>92</v>
      </c>
      <c r="H68" s="13">
        <f t="shared" ca="1" si="6"/>
        <v>157</v>
      </c>
      <c r="I68" s="11">
        <f t="shared" ca="1" si="7"/>
        <v>184</v>
      </c>
      <c r="J68">
        <f t="shared" ca="1" si="5"/>
        <v>119</v>
      </c>
      <c r="K68">
        <f t="shared" ca="1" si="8"/>
        <v>0</v>
      </c>
      <c r="M68">
        <v>58</v>
      </c>
      <c r="N68">
        <v>230.41666666666666</v>
      </c>
      <c r="O68">
        <v>-14</v>
      </c>
      <c r="P68">
        <v>638</v>
      </c>
      <c r="Q68">
        <v>161.32964687346669</v>
      </c>
      <c r="R68">
        <v>652</v>
      </c>
      <c r="S68">
        <v>-12</v>
      </c>
      <c r="T68">
        <v>0</v>
      </c>
    </row>
    <row r="69" spans="2:20" x14ac:dyDescent="0.25">
      <c r="B69">
        <v>2</v>
      </c>
      <c r="C69">
        <v>59</v>
      </c>
      <c r="D69" s="12">
        <f t="shared" si="10"/>
        <v>3</v>
      </c>
      <c r="E69" s="11">
        <v>1</v>
      </c>
      <c r="F69" s="11" cm="1">
        <f t="array" ref="F69">IF(D69&lt;=INDEX($C$4:$C$7,B69),1,0)</f>
        <v>1</v>
      </c>
      <c r="G69" s="11">
        <v>120</v>
      </c>
      <c r="H69" s="13">
        <f t="shared" ca="1" si="6"/>
        <v>131</v>
      </c>
      <c r="I69" s="11">
        <f t="shared" ca="1" si="7"/>
        <v>119</v>
      </c>
      <c r="J69">
        <f t="shared" ca="1" si="5"/>
        <v>108</v>
      </c>
      <c r="K69">
        <f t="shared" ca="1" si="8"/>
        <v>0</v>
      </c>
      <c r="M69">
        <v>59</v>
      </c>
      <c r="N69">
        <v>246.92261904761904</v>
      </c>
      <c r="O69">
        <v>-16</v>
      </c>
      <c r="P69">
        <v>644</v>
      </c>
      <c r="Q69">
        <v>172.46410934506986</v>
      </c>
      <c r="R69">
        <v>660</v>
      </c>
      <c r="S69">
        <v>-12</v>
      </c>
      <c r="T69">
        <v>2</v>
      </c>
    </row>
    <row r="70" spans="2:20" x14ac:dyDescent="0.25">
      <c r="B70">
        <v>2</v>
      </c>
      <c r="C70">
        <v>60</v>
      </c>
      <c r="D70" s="12">
        <f t="shared" si="10"/>
        <v>4</v>
      </c>
      <c r="E70" s="11">
        <v>1</v>
      </c>
      <c r="F70" s="11" cm="1">
        <f t="array" ref="F70">IF(D70&lt;=INDEX($C$4:$C$7,B70),1,0)</f>
        <v>1</v>
      </c>
      <c r="G70" s="11">
        <v>135</v>
      </c>
      <c r="H70" s="13">
        <f t="shared" ca="1" si="6"/>
        <v>119</v>
      </c>
      <c r="I70" s="11">
        <f t="shared" ca="1" si="7"/>
        <v>108</v>
      </c>
      <c r="J70">
        <f t="shared" ca="1" si="5"/>
        <v>124</v>
      </c>
      <c r="K70">
        <f t="shared" ca="1" si="8"/>
        <v>0</v>
      </c>
      <c r="M70">
        <v>60</v>
      </c>
      <c r="N70">
        <v>237.98809523809524</v>
      </c>
      <c r="O70">
        <v>-13</v>
      </c>
      <c r="P70">
        <v>652</v>
      </c>
      <c r="Q70">
        <v>163.89038831513631</v>
      </c>
      <c r="R70">
        <v>665</v>
      </c>
      <c r="S70">
        <v>-12</v>
      </c>
      <c r="T70">
        <v>1</v>
      </c>
    </row>
    <row r="71" spans="2:20" x14ac:dyDescent="0.25">
      <c r="B71">
        <v>2</v>
      </c>
      <c r="C71">
        <v>61</v>
      </c>
      <c r="D71" s="12">
        <f t="shared" si="10"/>
        <v>5</v>
      </c>
      <c r="E71" s="11">
        <v>1</v>
      </c>
      <c r="F71" s="11" cm="1">
        <f t="array" ref="F71">IF(D71&lt;=INDEX($C$4:$C$7,B71),1,0)</f>
        <v>0</v>
      </c>
      <c r="G71" s="11">
        <v>111</v>
      </c>
      <c r="H71" s="13">
        <f t="shared" ca="1" si="6"/>
        <v>0</v>
      </c>
      <c r="I71" s="11">
        <f t="shared" ca="1" si="7"/>
        <v>124</v>
      </c>
      <c r="J71">
        <f t="shared" ca="1" si="5"/>
        <v>235</v>
      </c>
      <c r="K71">
        <f t="shared" ca="1" si="8"/>
        <v>0</v>
      </c>
      <c r="M71">
        <v>61</v>
      </c>
      <c r="N71">
        <v>255.50595238095238</v>
      </c>
      <c r="O71">
        <v>-13</v>
      </c>
      <c r="P71">
        <v>686</v>
      </c>
      <c r="Q71">
        <v>182.39520791219013</v>
      </c>
      <c r="R71">
        <v>699</v>
      </c>
      <c r="S71">
        <v>-12</v>
      </c>
      <c r="T71">
        <v>1</v>
      </c>
    </row>
    <row r="72" spans="2:20" x14ac:dyDescent="0.25">
      <c r="B72">
        <v>2</v>
      </c>
      <c r="C72">
        <v>62</v>
      </c>
      <c r="D72" s="12">
        <f t="shared" si="10"/>
        <v>6</v>
      </c>
      <c r="E72" s="11">
        <v>0</v>
      </c>
      <c r="F72" s="11" cm="1">
        <f t="array" ref="F72">IF(D72&lt;=INDEX($C$4:$C$7,B72),1,0)</f>
        <v>0</v>
      </c>
      <c r="G72" s="11">
        <v>0</v>
      </c>
      <c r="H72" s="13">
        <f t="shared" ca="1" si="6"/>
        <v>0</v>
      </c>
      <c r="I72" s="11">
        <f t="shared" ca="1" si="7"/>
        <v>235</v>
      </c>
      <c r="J72">
        <f t="shared" ca="1" si="5"/>
        <v>235</v>
      </c>
      <c r="K72">
        <f t="shared" ca="1" si="8"/>
        <v>0</v>
      </c>
      <c r="M72">
        <v>62</v>
      </c>
      <c r="N72">
        <v>271.58928571428572</v>
      </c>
      <c r="O72">
        <v>-13</v>
      </c>
      <c r="P72">
        <v>674</v>
      </c>
      <c r="Q72">
        <v>193.17911532950396</v>
      </c>
      <c r="R72">
        <v>687</v>
      </c>
      <c r="S72">
        <v>-12</v>
      </c>
      <c r="T72">
        <v>0</v>
      </c>
    </row>
    <row r="73" spans="2:20" x14ac:dyDescent="0.25">
      <c r="B73">
        <v>2</v>
      </c>
      <c r="C73">
        <v>63</v>
      </c>
      <c r="D73" s="16">
        <f t="shared" si="10"/>
        <v>7</v>
      </c>
      <c r="E73" s="14">
        <v>0</v>
      </c>
      <c r="F73" s="14" cm="1">
        <f t="array" ref="F73">IF(D73&lt;=INDEX($C$4:$C$7,B73),1,0)</f>
        <v>0</v>
      </c>
      <c r="G73" s="14">
        <v>0</v>
      </c>
      <c r="H73" s="13">
        <f t="shared" ca="1" si="6"/>
        <v>0</v>
      </c>
      <c r="I73" s="11">
        <f t="shared" ca="1" si="7"/>
        <v>235</v>
      </c>
      <c r="J73">
        <f t="shared" ca="1" si="5"/>
        <v>235</v>
      </c>
      <c r="K73">
        <f t="shared" ca="1" si="8"/>
        <v>0</v>
      </c>
      <c r="M73">
        <v>63</v>
      </c>
      <c r="N73">
        <v>243.20238095238096</v>
      </c>
      <c r="O73">
        <v>-14</v>
      </c>
      <c r="P73">
        <v>632</v>
      </c>
      <c r="Q73">
        <v>163.72885394266547</v>
      </c>
      <c r="R73">
        <v>646</v>
      </c>
      <c r="S73">
        <v>-12</v>
      </c>
      <c r="T73">
        <v>0</v>
      </c>
    </row>
    <row r="74" spans="2:20" x14ac:dyDescent="0.25">
      <c r="B74">
        <v>2</v>
      </c>
      <c r="C74">
        <v>64</v>
      </c>
      <c r="D74" s="8">
        <f t="shared" si="10"/>
        <v>1</v>
      </c>
      <c r="E74" s="9">
        <v>1</v>
      </c>
      <c r="F74" s="9" cm="1">
        <f t="array" ref="F74">IF(D74&lt;=INDEX($C$4:$C$7,B74),1,0)</f>
        <v>1</v>
      </c>
      <c r="G74" s="9">
        <v>162</v>
      </c>
      <c r="H74" s="13">
        <f t="shared" ca="1" si="6"/>
        <v>153</v>
      </c>
      <c r="I74" s="11">
        <f t="shared" ca="1" si="7"/>
        <v>235</v>
      </c>
      <c r="J74">
        <f t="shared" ca="1" si="5"/>
        <v>244</v>
      </c>
      <c r="K74">
        <f t="shared" ca="1" si="8"/>
        <v>0</v>
      </c>
      <c r="M74">
        <v>64</v>
      </c>
      <c r="N74">
        <v>273.91071428571428</v>
      </c>
      <c r="O74">
        <v>-13</v>
      </c>
      <c r="P74">
        <v>728</v>
      </c>
      <c r="Q74">
        <v>199.17980123129308</v>
      </c>
      <c r="R74">
        <v>741</v>
      </c>
      <c r="S74">
        <v>-12</v>
      </c>
      <c r="T74">
        <v>1</v>
      </c>
    </row>
    <row r="75" spans="2:20" x14ac:dyDescent="0.25">
      <c r="B75">
        <v>2</v>
      </c>
      <c r="C75">
        <v>65</v>
      </c>
      <c r="D75" s="12">
        <f t="shared" si="10"/>
        <v>2</v>
      </c>
      <c r="E75" s="11">
        <v>1</v>
      </c>
      <c r="F75" s="11" cm="1">
        <f t="array" ref="F75">IF(D75&lt;=INDEX($C$4:$C$7,B75),1,0)</f>
        <v>1</v>
      </c>
      <c r="G75" s="11">
        <v>162</v>
      </c>
      <c r="H75" s="13">
        <f t="shared" ca="1" si="6"/>
        <v>163</v>
      </c>
      <c r="I75" s="11">
        <f t="shared" ca="1" si="7"/>
        <v>244</v>
      </c>
      <c r="J75">
        <f t="shared" ca="1" si="5"/>
        <v>243</v>
      </c>
      <c r="K75">
        <f t="shared" ca="1" si="8"/>
        <v>0</v>
      </c>
      <c r="M75">
        <v>65</v>
      </c>
      <c r="N75">
        <v>246.66666666666666</v>
      </c>
      <c r="O75">
        <v>-13</v>
      </c>
      <c r="P75">
        <v>602</v>
      </c>
      <c r="Q75">
        <v>166.37431502011572</v>
      </c>
      <c r="R75">
        <v>615</v>
      </c>
      <c r="S75">
        <v>-12</v>
      </c>
      <c r="T75">
        <v>0</v>
      </c>
    </row>
    <row r="76" spans="2:20" x14ac:dyDescent="0.25">
      <c r="B76">
        <v>2</v>
      </c>
      <c r="C76">
        <v>66</v>
      </c>
      <c r="D76" s="12">
        <f t="shared" si="10"/>
        <v>3</v>
      </c>
      <c r="E76" s="11">
        <v>1</v>
      </c>
      <c r="F76" s="11" cm="1">
        <f t="array" ref="F76">IF(D76&lt;=INDEX($C$4:$C$7,B76),1,0)</f>
        <v>1</v>
      </c>
      <c r="G76" s="11">
        <v>179</v>
      </c>
      <c r="H76" s="13">
        <f t="shared" ca="1" si="6"/>
        <v>175</v>
      </c>
      <c r="I76" s="11">
        <f t="shared" ca="1" si="7"/>
        <v>243</v>
      </c>
      <c r="J76">
        <f t="shared" ref="J76:J139" ca="1" si="11">I76+G76-H76</f>
        <v>247</v>
      </c>
      <c r="K76">
        <f t="shared" ca="1" si="8"/>
        <v>0</v>
      </c>
      <c r="M76">
        <v>66</v>
      </c>
      <c r="N76">
        <v>219.83333333333334</v>
      </c>
      <c r="O76">
        <v>-14</v>
      </c>
      <c r="P76">
        <v>627</v>
      </c>
      <c r="Q76">
        <v>152.04348793099368</v>
      </c>
      <c r="R76">
        <v>641</v>
      </c>
      <c r="S76">
        <v>-12</v>
      </c>
      <c r="T76">
        <v>2</v>
      </c>
    </row>
    <row r="77" spans="2:20" x14ac:dyDescent="0.25">
      <c r="B77">
        <v>2</v>
      </c>
      <c r="C77">
        <v>67</v>
      </c>
      <c r="D77" s="12">
        <f t="shared" si="10"/>
        <v>4</v>
      </c>
      <c r="E77" s="11">
        <v>1</v>
      </c>
      <c r="F77" s="11" cm="1">
        <f t="array" ref="F77">IF(D77&lt;=INDEX($C$4:$C$7,B77),1,0)</f>
        <v>1</v>
      </c>
      <c r="G77" s="11">
        <v>175</v>
      </c>
      <c r="H77" s="13">
        <f t="shared" ref="H77:H140" ca="1" si="12">IF(F77=1,ROUND((110%*(MIN(I77,RANDBETWEEN($F$8,$F$9)))),0),0)</f>
        <v>154</v>
      </c>
      <c r="I77" s="11">
        <f t="shared" ref="I77:I140" ca="1" si="13">J76</f>
        <v>247</v>
      </c>
      <c r="J77">
        <f t="shared" ca="1" si="11"/>
        <v>268</v>
      </c>
      <c r="K77">
        <f t="shared" ref="K77:K140" ca="1" si="14">IF(AND(H77=I77,F77=1),1,0)</f>
        <v>0</v>
      </c>
      <c r="M77">
        <v>67</v>
      </c>
      <c r="N77">
        <v>268.69642857142856</v>
      </c>
      <c r="O77">
        <v>-13</v>
      </c>
      <c r="P77">
        <v>648</v>
      </c>
      <c r="Q77">
        <v>186.24995234670439</v>
      </c>
      <c r="R77">
        <v>661</v>
      </c>
      <c r="S77">
        <v>-13</v>
      </c>
      <c r="T77">
        <v>1</v>
      </c>
    </row>
    <row r="78" spans="2:20" x14ac:dyDescent="0.25">
      <c r="B78">
        <v>2</v>
      </c>
      <c r="C78">
        <v>68</v>
      </c>
      <c r="D78" s="12">
        <f t="shared" si="10"/>
        <v>5</v>
      </c>
      <c r="E78" s="11">
        <v>1</v>
      </c>
      <c r="F78" s="11" cm="1">
        <f t="array" ref="F78">IF(D78&lt;=INDEX($C$4:$C$7,B78),1,0)</f>
        <v>0</v>
      </c>
      <c r="G78" s="11">
        <v>148</v>
      </c>
      <c r="H78" s="13">
        <f t="shared" ca="1" si="12"/>
        <v>0</v>
      </c>
      <c r="I78" s="11">
        <f t="shared" ca="1" si="13"/>
        <v>268</v>
      </c>
      <c r="J78">
        <f t="shared" ca="1" si="11"/>
        <v>416</v>
      </c>
      <c r="K78">
        <f t="shared" ca="1" si="14"/>
        <v>0</v>
      </c>
      <c r="M78">
        <v>68</v>
      </c>
      <c r="N78">
        <v>300.45238095238096</v>
      </c>
      <c r="O78">
        <v>-13</v>
      </c>
      <c r="P78">
        <v>728</v>
      </c>
      <c r="Q78">
        <v>216.82060857735567</v>
      </c>
      <c r="R78">
        <v>741</v>
      </c>
      <c r="S78">
        <v>-12</v>
      </c>
      <c r="T78">
        <v>1</v>
      </c>
    </row>
    <row r="79" spans="2:20" x14ac:dyDescent="0.25">
      <c r="B79">
        <v>2</v>
      </c>
      <c r="C79">
        <v>69</v>
      </c>
      <c r="D79" s="12">
        <f t="shared" si="10"/>
        <v>6</v>
      </c>
      <c r="E79" s="11">
        <v>0</v>
      </c>
      <c r="F79" s="11" cm="1">
        <f t="array" ref="F79">IF(D79&lt;=INDEX($C$4:$C$7,B79),1,0)</f>
        <v>0</v>
      </c>
      <c r="G79" s="11">
        <v>0</v>
      </c>
      <c r="H79" s="13">
        <f t="shared" ca="1" si="12"/>
        <v>0</v>
      </c>
      <c r="I79" s="11">
        <f t="shared" ca="1" si="13"/>
        <v>416</v>
      </c>
      <c r="J79">
        <f t="shared" ca="1" si="11"/>
        <v>416</v>
      </c>
      <c r="K79">
        <f t="shared" ca="1" si="14"/>
        <v>0</v>
      </c>
      <c r="M79">
        <v>69</v>
      </c>
      <c r="N79">
        <v>267.89880952380952</v>
      </c>
      <c r="O79">
        <v>-14</v>
      </c>
      <c r="P79">
        <v>685</v>
      </c>
      <c r="Q79">
        <v>192.99070542265798</v>
      </c>
      <c r="R79">
        <v>699</v>
      </c>
      <c r="S79">
        <v>-12</v>
      </c>
      <c r="T79">
        <v>1</v>
      </c>
    </row>
    <row r="80" spans="2:20" x14ac:dyDescent="0.25">
      <c r="B80">
        <v>2</v>
      </c>
      <c r="C80">
        <v>70</v>
      </c>
      <c r="D80" s="16">
        <f t="shared" si="10"/>
        <v>7</v>
      </c>
      <c r="E80" s="14">
        <v>0</v>
      </c>
      <c r="F80" s="14" cm="1">
        <f t="array" ref="F80">IF(D80&lt;=INDEX($C$4:$C$7,B80),1,0)</f>
        <v>0</v>
      </c>
      <c r="G80" s="14">
        <v>0</v>
      </c>
      <c r="H80" s="13">
        <f t="shared" ca="1" si="12"/>
        <v>0</v>
      </c>
      <c r="I80" s="11">
        <f t="shared" ca="1" si="13"/>
        <v>416</v>
      </c>
      <c r="J80">
        <f t="shared" ca="1" si="11"/>
        <v>416</v>
      </c>
      <c r="K80">
        <f t="shared" ca="1" si="14"/>
        <v>0</v>
      </c>
      <c r="M80">
        <v>70</v>
      </c>
      <c r="N80">
        <v>261.82142857142856</v>
      </c>
      <c r="O80">
        <v>-13</v>
      </c>
      <c r="P80">
        <v>633</v>
      </c>
      <c r="Q80">
        <v>180.59423478077704</v>
      </c>
      <c r="R80">
        <v>646</v>
      </c>
      <c r="S80">
        <v>-12</v>
      </c>
      <c r="T80">
        <v>0</v>
      </c>
    </row>
    <row r="81" spans="2:20" x14ac:dyDescent="0.25">
      <c r="B81">
        <v>2</v>
      </c>
      <c r="C81">
        <v>71</v>
      </c>
      <c r="D81" s="8">
        <f t="shared" si="10"/>
        <v>1</v>
      </c>
      <c r="E81" s="9">
        <v>1</v>
      </c>
      <c r="F81" s="9" cm="1">
        <f t="array" ref="F81">IF(D81&lt;=INDEX($C$4:$C$7,B81),1,0)</f>
        <v>1</v>
      </c>
      <c r="G81" s="9">
        <v>180</v>
      </c>
      <c r="H81" s="13">
        <f t="shared" ca="1" si="12"/>
        <v>176</v>
      </c>
      <c r="I81" s="11">
        <f t="shared" ca="1" si="13"/>
        <v>416</v>
      </c>
      <c r="J81">
        <f t="shared" ca="1" si="11"/>
        <v>420</v>
      </c>
      <c r="K81">
        <f t="shared" ca="1" si="14"/>
        <v>0</v>
      </c>
      <c r="M81">
        <v>71</v>
      </c>
      <c r="N81">
        <v>235.39285714285714</v>
      </c>
      <c r="O81">
        <v>-13</v>
      </c>
      <c r="P81">
        <v>634</v>
      </c>
      <c r="Q81">
        <v>163.29410494835491</v>
      </c>
      <c r="R81">
        <v>647</v>
      </c>
      <c r="S81">
        <v>-12</v>
      </c>
      <c r="T81">
        <v>1</v>
      </c>
    </row>
    <row r="82" spans="2:20" x14ac:dyDescent="0.25">
      <c r="B82">
        <v>2</v>
      </c>
      <c r="C82">
        <v>72</v>
      </c>
      <c r="D82" s="12">
        <f t="shared" si="10"/>
        <v>2</v>
      </c>
      <c r="E82" s="11">
        <v>1</v>
      </c>
      <c r="F82" s="11" cm="1">
        <f t="array" ref="F82">IF(D82&lt;=INDEX($C$4:$C$7,B82),1,0)</f>
        <v>1</v>
      </c>
      <c r="G82" s="11">
        <v>162</v>
      </c>
      <c r="H82" s="13">
        <f t="shared" ca="1" si="12"/>
        <v>153</v>
      </c>
      <c r="I82" s="11">
        <f t="shared" ca="1" si="13"/>
        <v>420</v>
      </c>
      <c r="J82">
        <f t="shared" ca="1" si="11"/>
        <v>429</v>
      </c>
      <c r="K82">
        <f t="shared" ca="1" si="14"/>
        <v>0</v>
      </c>
      <c r="M82">
        <v>72</v>
      </c>
      <c r="N82">
        <v>232.61309523809524</v>
      </c>
      <c r="O82">
        <v>-15</v>
      </c>
      <c r="P82">
        <v>647</v>
      </c>
      <c r="Q82">
        <v>164.74478550875068</v>
      </c>
      <c r="R82">
        <v>662</v>
      </c>
      <c r="S82">
        <v>-12</v>
      </c>
      <c r="T82">
        <v>2</v>
      </c>
    </row>
    <row r="83" spans="2:20" x14ac:dyDescent="0.25">
      <c r="B83">
        <v>2</v>
      </c>
      <c r="C83">
        <v>73</v>
      </c>
      <c r="D83" s="12">
        <f t="shared" ref="D83:D146" si="15">D76</f>
        <v>3</v>
      </c>
      <c r="E83" s="11">
        <v>1</v>
      </c>
      <c r="F83" s="11" cm="1">
        <f t="array" ref="F83">IF(D83&lt;=INDEX($C$4:$C$7,B83),1,0)</f>
        <v>1</v>
      </c>
      <c r="G83" s="11">
        <v>120</v>
      </c>
      <c r="H83" s="13">
        <f t="shared" ca="1" si="12"/>
        <v>149</v>
      </c>
      <c r="I83" s="11">
        <f t="shared" ca="1" si="13"/>
        <v>429</v>
      </c>
      <c r="J83">
        <f t="shared" ca="1" si="11"/>
        <v>400</v>
      </c>
      <c r="K83">
        <f t="shared" ca="1" si="14"/>
        <v>0</v>
      </c>
      <c r="M83">
        <v>73</v>
      </c>
      <c r="N83">
        <v>228.73809523809524</v>
      </c>
      <c r="O83">
        <v>-14</v>
      </c>
      <c r="P83">
        <v>634</v>
      </c>
      <c r="Q83">
        <v>157.93018492567404</v>
      </c>
      <c r="R83">
        <v>648</v>
      </c>
      <c r="S83">
        <v>-12</v>
      </c>
      <c r="T83">
        <v>0</v>
      </c>
    </row>
    <row r="84" spans="2:20" x14ac:dyDescent="0.25">
      <c r="B84">
        <v>2</v>
      </c>
      <c r="C84">
        <v>74</v>
      </c>
      <c r="D84" s="12">
        <f t="shared" si="15"/>
        <v>4</v>
      </c>
      <c r="E84" s="11">
        <v>1</v>
      </c>
      <c r="F84" s="11" cm="1">
        <f t="array" ref="F84">IF(D84&lt;=INDEX($C$4:$C$7,B84),1,0)</f>
        <v>1</v>
      </c>
      <c r="G84" s="11">
        <v>158</v>
      </c>
      <c r="H84" s="13">
        <f t="shared" ca="1" si="12"/>
        <v>153</v>
      </c>
      <c r="I84" s="11">
        <f t="shared" ca="1" si="13"/>
        <v>400</v>
      </c>
      <c r="J84">
        <f t="shared" ca="1" si="11"/>
        <v>405</v>
      </c>
      <c r="K84">
        <f t="shared" ca="1" si="14"/>
        <v>0</v>
      </c>
      <c r="M84">
        <v>74</v>
      </c>
      <c r="N84">
        <v>244.63095238095238</v>
      </c>
      <c r="O84">
        <v>-14</v>
      </c>
      <c r="P84">
        <v>673</v>
      </c>
      <c r="Q84">
        <v>170.42578190282188</v>
      </c>
      <c r="R84">
        <v>687</v>
      </c>
      <c r="S84">
        <v>-12</v>
      </c>
      <c r="T84">
        <v>0</v>
      </c>
    </row>
    <row r="85" spans="2:20" x14ac:dyDescent="0.25">
      <c r="B85">
        <v>2</v>
      </c>
      <c r="C85">
        <v>75</v>
      </c>
      <c r="D85" s="12">
        <f t="shared" si="15"/>
        <v>5</v>
      </c>
      <c r="E85" s="11">
        <v>1</v>
      </c>
      <c r="F85" s="11" cm="1">
        <f t="array" ref="F85">IF(D85&lt;=INDEX($C$4:$C$7,B85),1,0)</f>
        <v>0</v>
      </c>
      <c r="G85" s="11">
        <v>125</v>
      </c>
      <c r="H85" s="13">
        <f t="shared" ca="1" si="12"/>
        <v>0</v>
      </c>
      <c r="I85" s="11">
        <f t="shared" ca="1" si="13"/>
        <v>405</v>
      </c>
      <c r="J85">
        <f t="shared" ca="1" si="11"/>
        <v>530</v>
      </c>
      <c r="K85">
        <f t="shared" ca="1" si="14"/>
        <v>0</v>
      </c>
      <c r="M85">
        <v>75</v>
      </c>
      <c r="N85">
        <v>248.67261904761904</v>
      </c>
      <c r="O85">
        <v>-14</v>
      </c>
      <c r="P85">
        <v>638</v>
      </c>
      <c r="Q85">
        <v>170.09393402805577</v>
      </c>
      <c r="R85">
        <v>652</v>
      </c>
      <c r="S85">
        <v>-13</v>
      </c>
      <c r="T85">
        <v>1</v>
      </c>
    </row>
    <row r="86" spans="2:20" x14ac:dyDescent="0.25">
      <c r="B86">
        <v>2</v>
      </c>
      <c r="C86">
        <v>76</v>
      </c>
      <c r="D86" s="12">
        <f t="shared" si="15"/>
        <v>6</v>
      </c>
      <c r="E86" s="11">
        <v>0</v>
      </c>
      <c r="F86" s="11" cm="1">
        <f t="array" ref="F86">IF(D86&lt;=INDEX($C$4:$C$7,B86),1,0)</f>
        <v>0</v>
      </c>
      <c r="G86" s="11">
        <v>0</v>
      </c>
      <c r="H86" s="13">
        <f t="shared" ca="1" si="12"/>
        <v>0</v>
      </c>
      <c r="I86" s="11">
        <f t="shared" ca="1" si="13"/>
        <v>530</v>
      </c>
      <c r="J86">
        <f t="shared" ca="1" si="11"/>
        <v>530</v>
      </c>
      <c r="K86">
        <f t="shared" ca="1" si="14"/>
        <v>0</v>
      </c>
      <c r="M86">
        <v>76</v>
      </c>
      <c r="N86">
        <v>259.66666666666669</v>
      </c>
      <c r="O86">
        <v>-13</v>
      </c>
      <c r="P86">
        <v>645</v>
      </c>
      <c r="Q86">
        <v>179.27730803033376</v>
      </c>
      <c r="R86">
        <v>658</v>
      </c>
      <c r="S86">
        <v>-12</v>
      </c>
      <c r="T86">
        <v>0</v>
      </c>
    </row>
    <row r="87" spans="2:20" x14ac:dyDescent="0.25">
      <c r="B87">
        <v>2</v>
      </c>
      <c r="C87">
        <v>77</v>
      </c>
      <c r="D87" s="16">
        <f t="shared" si="15"/>
        <v>7</v>
      </c>
      <c r="E87" s="14">
        <v>0</v>
      </c>
      <c r="F87" s="14" cm="1">
        <f t="array" ref="F87">IF(D87&lt;=INDEX($C$4:$C$7,B87),1,0)</f>
        <v>0</v>
      </c>
      <c r="G87" s="14">
        <v>0</v>
      </c>
      <c r="H87" s="13">
        <f t="shared" ca="1" si="12"/>
        <v>0</v>
      </c>
      <c r="I87" s="11">
        <f t="shared" ca="1" si="13"/>
        <v>530</v>
      </c>
      <c r="J87">
        <f t="shared" ca="1" si="11"/>
        <v>530</v>
      </c>
      <c r="K87">
        <f t="shared" ca="1" si="14"/>
        <v>0</v>
      </c>
      <c r="M87">
        <v>77</v>
      </c>
      <c r="N87">
        <v>264.47023809523807</v>
      </c>
      <c r="O87">
        <v>-13</v>
      </c>
      <c r="P87">
        <v>662</v>
      </c>
      <c r="Q87">
        <v>188.64235895052707</v>
      </c>
      <c r="R87">
        <v>675</v>
      </c>
      <c r="S87">
        <v>-12</v>
      </c>
      <c r="T87">
        <v>0</v>
      </c>
    </row>
    <row r="88" spans="2:20" x14ac:dyDescent="0.25">
      <c r="B88">
        <v>2</v>
      </c>
      <c r="C88">
        <v>78</v>
      </c>
      <c r="D88" s="8">
        <f t="shared" si="15"/>
        <v>1</v>
      </c>
      <c r="E88" s="9">
        <v>1</v>
      </c>
      <c r="F88" s="9" cm="1">
        <f t="array" ref="F88">IF(D88&lt;=INDEX($C$4:$C$7,B88),1,0)</f>
        <v>1</v>
      </c>
      <c r="G88" s="9">
        <v>146</v>
      </c>
      <c r="H88" s="13">
        <f t="shared" ca="1" si="12"/>
        <v>166</v>
      </c>
      <c r="I88" s="11">
        <f t="shared" ca="1" si="13"/>
        <v>530</v>
      </c>
      <c r="J88">
        <f t="shared" ca="1" si="11"/>
        <v>510</v>
      </c>
      <c r="K88">
        <f t="shared" ca="1" si="14"/>
        <v>0</v>
      </c>
      <c r="M88">
        <v>78</v>
      </c>
      <c r="N88">
        <v>244.83333333333334</v>
      </c>
      <c r="O88">
        <v>-13</v>
      </c>
      <c r="P88">
        <v>663</v>
      </c>
      <c r="Q88">
        <v>167.12700711715181</v>
      </c>
      <c r="R88">
        <v>676</v>
      </c>
      <c r="S88">
        <v>-12</v>
      </c>
      <c r="T88">
        <v>2</v>
      </c>
    </row>
    <row r="89" spans="2:20" x14ac:dyDescent="0.25">
      <c r="B89">
        <v>2</v>
      </c>
      <c r="C89">
        <v>79</v>
      </c>
      <c r="D89" s="12">
        <f t="shared" si="15"/>
        <v>2</v>
      </c>
      <c r="E89" s="11">
        <v>1</v>
      </c>
      <c r="F89" s="11" cm="1">
        <f t="array" ref="F89">IF(D89&lt;=INDEX($C$4:$C$7,B89),1,0)</f>
        <v>1</v>
      </c>
      <c r="G89" s="11">
        <v>170</v>
      </c>
      <c r="H89" s="13">
        <f t="shared" ca="1" si="12"/>
        <v>164</v>
      </c>
      <c r="I89" s="11">
        <f t="shared" ca="1" si="13"/>
        <v>510</v>
      </c>
      <c r="J89">
        <f t="shared" ca="1" si="11"/>
        <v>516</v>
      </c>
      <c r="K89">
        <f t="shared" ca="1" si="14"/>
        <v>0</v>
      </c>
      <c r="M89">
        <v>79</v>
      </c>
      <c r="N89">
        <v>231.125</v>
      </c>
      <c r="O89">
        <v>-13</v>
      </c>
      <c r="P89">
        <v>632</v>
      </c>
      <c r="Q89">
        <v>159.47589710032165</v>
      </c>
      <c r="R89">
        <v>645</v>
      </c>
      <c r="S89">
        <v>-12</v>
      </c>
      <c r="T89">
        <v>0</v>
      </c>
    </row>
    <row r="90" spans="2:20" x14ac:dyDescent="0.25">
      <c r="B90">
        <v>2</v>
      </c>
      <c r="C90">
        <v>80</v>
      </c>
      <c r="D90" s="12">
        <f t="shared" si="15"/>
        <v>3</v>
      </c>
      <c r="E90" s="11">
        <v>1</v>
      </c>
      <c r="F90" s="11" cm="1">
        <f t="array" ref="F90">IF(D90&lt;=INDEX($C$4:$C$7,B90),1,0)</f>
        <v>1</v>
      </c>
      <c r="G90" s="11">
        <v>155</v>
      </c>
      <c r="H90" s="13">
        <f t="shared" ca="1" si="12"/>
        <v>153</v>
      </c>
      <c r="I90" s="11">
        <f t="shared" ca="1" si="13"/>
        <v>516</v>
      </c>
      <c r="J90">
        <f t="shared" ca="1" si="11"/>
        <v>518</v>
      </c>
      <c r="K90">
        <f t="shared" ca="1" si="14"/>
        <v>0</v>
      </c>
      <c r="M90">
        <v>80</v>
      </c>
      <c r="N90">
        <v>239.36904761904762</v>
      </c>
      <c r="O90">
        <v>-13</v>
      </c>
      <c r="P90">
        <v>624</v>
      </c>
      <c r="Q90">
        <v>166.50649063295549</v>
      </c>
      <c r="R90">
        <v>637</v>
      </c>
      <c r="S90">
        <v>-12</v>
      </c>
      <c r="T90">
        <v>2</v>
      </c>
    </row>
    <row r="91" spans="2:20" x14ac:dyDescent="0.25">
      <c r="B91">
        <v>2</v>
      </c>
      <c r="C91">
        <v>81</v>
      </c>
      <c r="D91" s="12">
        <f t="shared" si="15"/>
        <v>4</v>
      </c>
      <c r="E91" s="11">
        <v>1</v>
      </c>
      <c r="F91" s="11" cm="1">
        <f t="array" ref="F91">IF(D91&lt;=INDEX($C$4:$C$7,B91),1,0)</f>
        <v>1</v>
      </c>
      <c r="G91" s="11">
        <v>144</v>
      </c>
      <c r="H91" s="13">
        <f t="shared" ca="1" si="12"/>
        <v>149</v>
      </c>
      <c r="I91" s="11">
        <f t="shared" ca="1" si="13"/>
        <v>518</v>
      </c>
      <c r="J91">
        <f t="shared" ca="1" si="11"/>
        <v>513</v>
      </c>
      <c r="K91">
        <f t="shared" ca="1" si="14"/>
        <v>0</v>
      </c>
      <c r="M91">
        <v>81</v>
      </c>
      <c r="N91">
        <v>266.73214285714283</v>
      </c>
      <c r="O91">
        <v>-15</v>
      </c>
      <c r="P91">
        <v>680</v>
      </c>
      <c r="Q91">
        <v>195.82008485725717</v>
      </c>
      <c r="R91">
        <v>695</v>
      </c>
      <c r="S91">
        <v>-12</v>
      </c>
      <c r="T91">
        <v>2</v>
      </c>
    </row>
    <row r="92" spans="2:20" x14ac:dyDescent="0.25">
      <c r="B92">
        <v>2</v>
      </c>
      <c r="C92">
        <v>82</v>
      </c>
      <c r="D92" s="12">
        <f t="shared" si="15"/>
        <v>5</v>
      </c>
      <c r="E92" s="11">
        <v>1</v>
      </c>
      <c r="F92" s="11" cm="1">
        <f t="array" ref="F92">IF(D92&lt;=INDEX($C$4:$C$7,B92),1,0)</f>
        <v>0</v>
      </c>
      <c r="G92" s="11">
        <v>158</v>
      </c>
      <c r="H92" s="13">
        <f t="shared" ca="1" si="12"/>
        <v>0</v>
      </c>
      <c r="I92" s="11">
        <f t="shared" ca="1" si="13"/>
        <v>513</v>
      </c>
      <c r="J92">
        <f t="shared" ca="1" si="11"/>
        <v>671</v>
      </c>
      <c r="K92">
        <f t="shared" ca="1" si="14"/>
        <v>0</v>
      </c>
      <c r="M92">
        <v>82</v>
      </c>
      <c r="N92">
        <v>254.04166666666666</v>
      </c>
      <c r="O92">
        <v>-16</v>
      </c>
      <c r="P92">
        <v>674</v>
      </c>
      <c r="Q92">
        <v>180.58006251570134</v>
      </c>
      <c r="R92">
        <v>690</v>
      </c>
      <c r="S92">
        <v>-12</v>
      </c>
      <c r="T92">
        <v>0</v>
      </c>
    </row>
    <row r="93" spans="2:20" x14ac:dyDescent="0.25">
      <c r="B93">
        <v>2</v>
      </c>
      <c r="C93">
        <v>83</v>
      </c>
      <c r="D93" s="12">
        <f t="shared" si="15"/>
        <v>6</v>
      </c>
      <c r="E93" s="11">
        <v>0</v>
      </c>
      <c r="F93" s="11" cm="1">
        <f t="array" ref="F93">IF(D93&lt;=INDEX($C$4:$C$7,B93),1,0)</f>
        <v>0</v>
      </c>
      <c r="G93" s="11">
        <v>0</v>
      </c>
      <c r="H93" s="13">
        <f t="shared" ca="1" si="12"/>
        <v>0</v>
      </c>
      <c r="I93" s="11">
        <f t="shared" ca="1" si="13"/>
        <v>671</v>
      </c>
      <c r="J93">
        <f t="shared" ca="1" si="11"/>
        <v>671</v>
      </c>
      <c r="K93">
        <f t="shared" ca="1" si="14"/>
        <v>0</v>
      </c>
      <c r="M93">
        <v>83</v>
      </c>
      <c r="N93">
        <v>252.42857142857142</v>
      </c>
      <c r="O93">
        <v>-13</v>
      </c>
      <c r="P93">
        <v>659</v>
      </c>
      <c r="Q93">
        <v>175.88231899782997</v>
      </c>
      <c r="R93">
        <v>672</v>
      </c>
      <c r="S93">
        <v>-12</v>
      </c>
      <c r="T93">
        <v>0</v>
      </c>
    </row>
    <row r="94" spans="2:20" x14ac:dyDescent="0.25">
      <c r="B94">
        <v>2</v>
      </c>
      <c r="C94">
        <v>84</v>
      </c>
      <c r="D94" s="16">
        <f t="shared" si="15"/>
        <v>7</v>
      </c>
      <c r="E94" s="14">
        <v>0</v>
      </c>
      <c r="F94" s="14" cm="1">
        <f t="array" ref="F94">IF(D94&lt;=INDEX($C$4:$C$7,B94),1,0)</f>
        <v>0</v>
      </c>
      <c r="G94" s="14">
        <v>0</v>
      </c>
      <c r="H94" s="13">
        <f t="shared" ca="1" si="12"/>
        <v>0</v>
      </c>
      <c r="I94" s="11">
        <f t="shared" ca="1" si="13"/>
        <v>671</v>
      </c>
      <c r="J94">
        <f t="shared" ca="1" si="11"/>
        <v>671</v>
      </c>
      <c r="K94">
        <f t="shared" ca="1" si="14"/>
        <v>0</v>
      </c>
      <c r="M94">
        <v>84</v>
      </c>
      <c r="N94">
        <v>258.75</v>
      </c>
      <c r="O94">
        <v>-14</v>
      </c>
      <c r="P94">
        <v>686</v>
      </c>
      <c r="Q94">
        <v>188.99548841931954</v>
      </c>
      <c r="R94">
        <v>700</v>
      </c>
      <c r="S94">
        <v>-12</v>
      </c>
      <c r="T94">
        <v>1</v>
      </c>
    </row>
    <row r="95" spans="2:20" x14ac:dyDescent="0.25">
      <c r="B95">
        <v>3</v>
      </c>
      <c r="C95">
        <v>85</v>
      </c>
      <c r="D95" s="8">
        <f t="shared" si="15"/>
        <v>1</v>
      </c>
      <c r="E95" s="9">
        <v>1</v>
      </c>
      <c r="F95" s="9" cm="1">
        <f t="array" ref="F95">IF(D95&lt;=INDEX($C$4:$C$7,B95),1,0)</f>
        <v>1</v>
      </c>
      <c r="G95" s="9">
        <v>135</v>
      </c>
      <c r="H95" s="13">
        <f t="shared" ca="1" si="12"/>
        <v>150</v>
      </c>
      <c r="I95" s="11">
        <f t="shared" ca="1" si="13"/>
        <v>671</v>
      </c>
      <c r="J95">
        <f t="shared" ca="1" si="11"/>
        <v>656</v>
      </c>
      <c r="K95">
        <f t="shared" ca="1" si="14"/>
        <v>0</v>
      </c>
      <c r="M95">
        <v>85</v>
      </c>
      <c r="N95">
        <v>233.23809523809524</v>
      </c>
      <c r="O95">
        <v>-13</v>
      </c>
      <c r="P95">
        <v>641</v>
      </c>
      <c r="Q95">
        <v>159.35903003443119</v>
      </c>
      <c r="R95">
        <v>654</v>
      </c>
      <c r="S95">
        <v>-12</v>
      </c>
      <c r="T95">
        <v>3</v>
      </c>
    </row>
    <row r="96" spans="2:20" x14ac:dyDescent="0.25">
      <c r="B96">
        <v>3</v>
      </c>
      <c r="C96">
        <v>86</v>
      </c>
      <c r="D96" s="12">
        <f t="shared" si="15"/>
        <v>2</v>
      </c>
      <c r="E96" s="11">
        <v>1</v>
      </c>
      <c r="F96" s="11" cm="1">
        <f t="array" ref="F96">IF(D96&lt;=INDEX($C$4:$C$7,B96),1,0)</f>
        <v>1</v>
      </c>
      <c r="G96" s="11">
        <v>142</v>
      </c>
      <c r="H96" s="13">
        <f t="shared" ca="1" si="12"/>
        <v>165</v>
      </c>
      <c r="I96" s="11">
        <f t="shared" ca="1" si="13"/>
        <v>656</v>
      </c>
      <c r="J96">
        <f t="shared" ca="1" si="11"/>
        <v>633</v>
      </c>
      <c r="K96">
        <f t="shared" ca="1" si="14"/>
        <v>0</v>
      </c>
      <c r="M96">
        <v>86</v>
      </c>
      <c r="N96">
        <v>250.8095238095238</v>
      </c>
      <c r="O96">
        <v>-16</v>
      </c>
      <c r="P96">
        <v>664</v>
      </c>
      <c r="Q96">
        <v>177.63107006420412</v>
      </c>
      <c r="R96">
        <v>680</v>
      </c>
      <c r="S96">
        <v>-12</v>
      </c>
      <c r="T96">
        <v>0</v>
      </c>
    </row>
    <row r="97" spans="2:20" x14ac:dyDescent="0.25">
      <c r="B97">
        <v>3</v>
      </c>
      <c r="C97">
        <v>87</v>
      </c>
      <c r="D97" s="12">
        <f t="shared" si="15"/>
        <v>3</v>
      </c>
      <c r="E97" s="11">
        <v>1</v>
      </c>
      <c r="F97" s="11" cm="1">
        <f t="array" ref="F97">IF(D97&lt;=INDEX($C$4:$C$7,B97),1,0)</f>
        <v>1</v>
      </c>
      <c r="G97" s="11">
        <v>124</v>
      </c>
      <c r="H97" s="13">
        <f t="shared" ca="1" si="12"/>
        <v>147</v>
      </c>
      <c r="I97" s="11">
        <f t="shared" ca="1" si="13"/>
        <v>633</v>
      </c>
      <c r="J97">
        <f t="shared" ca="1" si="11"/>
        <v>610</v>
      </c>
      <c r="K97">
        <f t="shared" ca="1" si="14"/>
        <v>0</v>
      </c>
      <c r="M97">
        <v>87</v>
      </c>
      <c r="N97">
        <v>228.07738095238096</v>
      </c>
      <c r="O97">
        <v>-14</v>
      </c>
      <c r="P97">
        <v>631</v>
      </c>
      <c r="Q97">
        <v>161.95531412736344</v>
      </c>
      <c r="R97">
        <v>645</v>
      </c>
      <c r="S97">
        <v>-12</v>
      </c>
      <c r="T97">
        <v>1</v>
      </c>
    </row>
    <row r="98" spans="2:20" x14ac:dyDescent="0.25">
      <c r="B98">
        <v>3</v>
      </c>
      <c r="C98">
        <v>88</v>
      </c>
      <c r="D98" s="12">
        <f t="shared" si="15"/>
        <v>4</v>
      </c>
      <c r="E98" s="11">
        <v>1</v>
      </c>
      <c r="F98" s="11" cm="1">
        <f t="array" ref="F98">IF(D98&lt;=INDEX($C$4:$C$7,B98),1,0)</f>
        <v>1</v>
      </c>
      <c r="G98" s="11">
        <v>134</v>
      </c>
      <c r="H98" s="13">
        <f t="shared" ca="1" si="12"/>
        <v>147</v>
      </c>
      <c r="I98" s="11">
        <f t="shared" ca="1" si="13"/>
        <v>610</v>
      </c>
      <c r="J98">
        <f t="shared" ca="1" si="11"/>
        <v>597</v>
      </c>
      <c r="K98">
        <f t="shared" ca="1" si="14"/>
        <v>0</v>
      </c>
      <c r="M98">
        <v>88</v>
      </c>
      <c r="N98">
        <v>250.625</v>
      </c>
      <c r="O98">
        <v>-13</v>
      </c>
      <c r="P98">
        <v>644</v>
      </c>
      <c r="Q98">
        <v>173.43688599204913</v>
      </c>
      <c r="R98">
        <v>657</v>
      </c>
      <c r="S98">
        <v>-12</v>
      </c>
      <c r="T98">
        <v>1</v>
      </c>
    </row>
    <row r="99" spans="2:20" x14ac:dyDescent="0.25">
      <c r="B99">
        <v>3</v>
      </c>
      <c r="C99">
        <v>89</v>
      </c>
      <c r="D99" s="12">
        <f t="shared" si="15"/>
        <v>5</v>
      </c>
      <c r="E99" s="11">
        <v>1</v>
      </c>
      <c r="F99" s="11" cm="1">
        <f t="array" ref="F99">IF(D99&lt;=INDEX($C$4:$C$7,B99),1,0)</f>
        <v>1</v>
      </c>
      <c r="G99" s="11">
        <v>174</v>
      </c>
      <c r="H99" s="13">
        <f t="shared" ca="1" si="12"/>
        <v>172</v>
      </c>
      <c r="I99" s="11">
        <f t="shared" ca="1" si="13"/>
        <v>597</v>
      </c>
      <c r="J99">
        <f t="shared" ca="1" si="11"/>
        <v>599</v>
      </c>
      <c r="K99">
        <f t="shared" ca="1" si="14"/>
        <v>0</v>
      </c>
      <c r="M99">
        <v>89</v>
      </c>
      <c r="N99">
        <v>266.34523809523807</v>
      </c>
      <c r="O99">
        <v>-13</v>
      </c>
      <c r="P99">
        <v>655</v>
      </c>
      <c r="Q99">
        <v>186.66266964561774</v>
      </c>
      <c r="R99">
        <v>668</v>
      </c>
      <c r="S99">
        <v>-12</v>
      </c>
      <c r="T99">
        <v>0</v>
      </c>
    </row>
    <row r="100" spans="2:20" x14ac:dyDescent="0.25">
      <c r="B100">
        <v>3</v>
      </c>
      <c r="C100">
        <v>90</v>
      </c>
      <c r="D100" s="12">
        <f t="shared" si="15"/>
        <v>6</v>
      </c>
      <c r="E100" s="11">
        <v>0</v>
      </c>
      <c r="F100" s="11" cm="1">
        <f t="array" ref="F100">IF(D100&lt;=INDEX($C$4:$C$7,B100),1,0)</f>
        <v>0</v>
      </c>
      <c r="G100" s="11">
        <v>0</v>
      </c>
      <c r="H100" s="13">
        <f t="shared" ca="1" si="12"/>
        <v>0</v>
      </c>
      <c r="I100" s="11">
        <f t="shared" ca="1" si="13"/>
        <v>599</v>
      </c>
      <c r="J100">
        <f t="shared" ca="1" si="11"/>
        <v>599</v>
      </c>
      <c r="K100">
        <f t="shared" ca="1" si="14"/>
        <v>0</v>
      </c>
      <c r="M100">
        <v>90</v>
      </c>
      <c r="N100">
        <v>240.27380952380952</v>
      </c>
      <c r="O100">
        <v>-13</v>
      </c>
      <c r="P100">
        <v>640</v>
      </c>
      <c r="Q100">
        <v>165.42671022817353</v>
      </c>
      <c r="R100">
        <v>653</v>
      </c>
      <c r="S100">
        <v>-12</v>
      </c>
      <c r="T100">
        <v>0</v>
      </c>
    </row>
    <row r="101" spans="2:20" x14ac:dyDescent="0.25">
      <c r="B101">
        <v>3</v>
      </c>
      <c r="C101">
        <v>91</v>
      </c>
      <c r="D101" s="16">
        <f t="shared" si="15"/>
        <v>7</v>
      </c>
      <c r="E101" s="14">
        <v>0</v>
      </c>
      <c r="F101" s="14" cm="1">
        <f t="array" ref="F101">IF(D101&lt;=INDEX($C$4:$C$7,B101),1,0)</f>
        <v>0</v>
      </c>
      <c r="G101" s="14">
        <v>0</v>
      </c>
      <c r="H101" s="13">
        <f t="shared" ca="1" si="12"/>
        <v>0</v>
      </c>
      <c r="I101" s="11">
        <f t="shared" ca="1" si="13"/>
        <v>599</v>
      </c>
      <c r="J101">
        <f t="shared" ca="1" si="11"/>
        <v>599</v>
      </c>
      <c r="K101">
        <f t="shared" ca="1" si="14"/>
        <v>0</v>
      </c>
      <c r="M101">
        <v>91</v>
      </c>
      <c r="N101">
        <v>248.75</v>
      </c>
      <c r="O101">
        <v>-13</v>
      </c>
      <c r="P101">
        <v>672</v>
      </c>
      <c r="Q101">
        <v>177.6299574557014</v>
      </c>
      <c r="R101">
        <v>685</v>
      </c>
      <c r="S101">
        <v>-12</v>
      </c>
      <c r="T101">
        <v>0</v>
      </c>
    </row>
    <row r="102" spans="2:20" x14ac:dyDescent="0.25">
      <c r="B102">
        <v>3</v>
      </c>
      <c r="C102">
        <v>92</v>
      </c>
      <c r="D102" s="8">
        <f t="shared" si="15"/>
        <v>1</v>
      </c>
      <c r="E102" s="9">
        <v>1</v>
      </c>
      <c r="F102" s="9" cm="1">
        <f t="array" ref="F102">IF(D102&lt;=INDEX($C$4:$C$7,B102),1,0)</f>
        <v>1</v>
      </c>
      <c r="G102" s="9">
        <v>142</v>
      </c>
      <c r="H102" s="13">
        <f t="shared" ca="1" si="12"/>
        <v>153</v>
      </c>
      <c r="I102" s="11">
        <f t="shared" ca="1" si="13"/>
        <v>599</v>
      </c>
      <c r="J102">
        <f t="shared" ca="1" si="11"/>
        <v>588</v>
      </c>
      <c r="K102">
        <f t="shared" ca="1" si="14"/>
        <v>0</v>
      </c>
      <c r="M102">
        <v>92</v>
      </c>
      <c r="N102">
        <v>273.13095238095241</v>
      </c>
      <c r="O102">
        <v>-14</v>
      </c>
      <c r="P102">
        <v>661</v>
      </c>
      <c r="Q102">
        <v>194.08339394150875</v>
      </c>
      <c r="R102">
        <v>675</v>
      </c>
      <c r="S102">
        <v>-14</v>
      </c>
      <c r="T102">
        <v>0</v>
      </c>
    </row>
    <row r="103" spans="2:20" x14ac:dyDescent="0.25">
      <c r="B103">
        <v>3</v>
      </c>
      <c r="C103">
        <v>93</v>
      </c>
      <c r="D103" s="12">
        <f t="shared" si="15"/>
        <v>2</v>
      </c>
      <c r="E103" s="11">
        <v>1</v>
      </c>
      <c r="F103" s="11" cm="1">
        <f t="array" ref="F103">IF(D103&lt;=INDEX($C$4:$C$7,B103),1,0)</f>
        <v>1</v>
      </c>
      <c r="G103" s="11">
        <v>147</v>
      </c>
      <c r="H103" s="13">
        <f t="shared" ca="1" si="12"/>
        <v>176</v>
      </c>
      <c r="I103" s="11">
        <f t="shared" ca="1" si="13"/>
        <v>588</v>
      </c>
      <c r="J103">
        <f t="shared" ca="1" si="11"/>
        <v>559</v>
      </c>
      <c r="K103">
        <f t="shared" ca="1" si="14"/>
        <v>0</v>
      </c>
      <c r="M103">
        <v>93</v>
      </c>
      <c r="N103">
        <v>254.91071428571428</v>
      </c>
      <c r="O103">
        <v>-13</v>
      </c>
      <c r="P103">
        <v>625</v>
      </c>
      <c r="Q103">
        <v>176.39835297650353</v>
      </c>
      <c r="R103">
        <v>638</v>
      </c>
      <c r="S103">
        <v>-12</v>
      </c>
      <c r="T103">
        <v>0</v>
      </c>
    </row>
    <row r="104" spans="2:20" x14ac:dyDescent="0.25">
      <c r="B104">
        <v>3</v>
      </c>
      <c r="C104">
        <v>94</v>
      </c>
      <c r="D104" s="12">
        <f t="shared" si="15"/>
        <v>3</v>
      </c>
      <c r="E104" s="11">
        <v>1</v>
      </c>
      <c r="F104" s="11" cm="1">
        <f t="array" ref="F104">IF(D104&lt;=INDEX($C$4:$C$7,B104),1,0)</f>
        <v>1</v>
      </c>
      <c r="G104" s="11">
        <v>176</v>
      </c>
      <c r="H104" s="13">
        <f t="shared" ca="1" si="12"/>
        <v>146</v>
      </c>
      <c r="I104" s="11">
        <f t="shared" ca="1" si="13"/>
        <v>559</v>
      </c>
      <c r="J104">
        <f t="shared" ca="1" si="11"/>
        <v>589</v>
      </c>
      <c r="K104">
        <f t="shared" ca="1" si="14"/>
        <v>0</v>
      </c>
      <c r="M104">
        <v>94</v>
      </c>
      <c r="N104">
        <v>276.625</v>
      </c>
      <c r="O104">
        <v>-15</v>
      </c>
      <c r="P104">
        <v>714</v>
      </c>
      <c r="Q104">
        <v>196.76719648634332</v>
      </c>
      <c r="R104">
        <v>729</v>
      </c>
      <c r="S104">
        <v>-12</v>
      </c>
      <c r="T104">
        <v>0</v>
      </c>
    </row>
    <row r="105" spans="2:20" x14ac:dyDescent="0.25">
      <c r="B105">
        <v>3</v>
      </c>
      <c r="C105">
        <v>95</v>
      </c>
      <c r="D105" s="12">
        <f t="shared" si="15"/>
        <v>4</v>
      </c>
      <c r="E105" s="11">
        <v>1</v>
      </c>
      <c r="F105" s="11" cm="1">
        <f t="array" ref="F105">IF(D105&lt;=INDEX($C$4:$C$7,B105),1,0)</f>
        <v>1</v>
      </c>
      <c r="G105" s="11">
        <v>127</v>
      </c>
      <c r="H105" s="13">
        <f t="shared" ca="1" si="12"/>
        <v>146</v>
      </c>
      <c r="I105" s="11">
        <f t="shared" ca="1" si="13"/>
        <v>589</v>
      </c>
      <c r="J105">
        <f t="shared" ca="1" si="11"/>
        <v>570</v>
      </c>
      <c r="K105">
        <f t="shared" ca="1" si="14"/>
        <v>0</v>
      </c>
      <c r="M105">
        <v>95</v>
      </c>
      <c r="N105">
        <v>257.83928571428572</v>
      </c>
      <c r="O105">
        <v>-13</v>
      </c>
      <c r="P105">
        <v>667</v>
      </c>
      <c r="Q105">
        <v>173.74852963944974</v>
      </c>
      <c r="R105">
        <v>680</v>
      </c>
      <c r="S105">
        <v>-12</v>
      </c>
      <c r="T105">
        <v>1</v>
      </c>
    </row>
    <row r="106" spans="2:20" x14ac:dyDescent="0.25">
      <c r="B106">
        <v>3</v>
      </c>
      <c r="C106">
        <v>96</v>
      </c>
      <c r="D106" s="12">
        <f t="shared" si="15"/>
        <v>5</v>
      </c>
      <c r="E106" s="11">
        <v>1</v>
      </c>
      <c r="F106" s="11" cm="1">
        <f t="array" ref="F106">IF(D106&lt;=INDEX($C$4:$C$7,B106),1,0)</f>
        <v>1</v>
      </c>
      <c r="G106" s="11">
        <v>138</v>
      </c>
      <c r="H106" s="13">
        <f t="shared" ca="1" si="12"/>
        <v>162</v>
      </c>
      <c r="I106" s="11">
        <f t="shared" ca="1" si="13"/>
        <v>570</v>
      </c>
      <c r="J106">
        <f t="shared" ca="1" si="11"/>
        <v>546</v>
      </c>
      <c r="K106">
        <f t="shared" ca="1" si="14"/>
        <v>0</v>
      </c>
      <c r="M106">
        <v>96</v>
      </c>
      <c r="N106">
        <v>241.8095238095238</v>
      </c>
      <c r="O106">
        <v>-15</v>
      </c>
      <c r="P106">
        <v>667</v>
      </c>
      <c r="Q106">
        <v>170.10588272563791</v>
      </c>
      <c r="R106">
        <v>682</v>
      </c>
      <c r="S106">
        <v>-12</v>
      </c>
      <c r="T106">
        <v>2</v>
      </c>
    </row>
    <row r="107" spans="2:20" x14ac:dyDescent="0.25">
      <c r="B107">
        <v>3</v>
      </c>
      <c r="C107">
        <v>97</v>
      </c>
      <c r="D107" s="12">
        <f t="shared" si="15"/>
        <v>6</v>
      </c>
      <c r="E107" s="11">
        <v>0</v>
      </c>
      <c r="F107" s="11" cm="1">
        <f t="array" ref="F107">IF(D107&lt;=INDEX($C$4:$C$7,B107),1,0)</f>
        <v>0</v>
      </c>
      <c r="G107" s="11">
        <v>0</v>
      </c>
      <c r="H107" s="13">
        <f t="shared" ca="1" si="12"/>
        <v>0</v>
      </c>
      <c r="I107" s="11">
        <f t="shared" ca="1" si="13"/>
        <v>546</v>
      </c>
      <c r="J107">
        <f t="shared" ca="1" si="11"/>
        <v>546</v>
      </c>
      <c r="K107">
        <f t="shared" ca="1" si="14"/>
        <v>0</v>
      </c>
      <c r="M107">
        <v>97</v>
      </c>
      <c r="N107">
        <v>252.44642857142858</v>
      </c>
      <c r="O107">
        <v>-13</v>
      </c>
      <c r="P107">
        <v>626</v>
      </c>
      <c r="Q107">
        <v>177.83107148989711</v>
      </c>
      <c r="R107">
        <v>639</v>
      </c>
      <c r="S107">
        <v>-12</v>
      </c>
      <c r="T107">
        <v>0</v>
      </c>
    </row>
    <row r="108" spans="2:20" x14ac:dyDescent="0.25">
      <c r="B108">
        <v>3</v>
      </c>
      <c r="C108">
        <v>98</v>
      </c>
      <c r="D108" s="16">
        <f t="shared" si="15"/>
        <v>7</v>
      </c>
      <c r="E108" s="14">
        <v>0</v>
      </c>
      <c r="F108" s="14" cm="1">
        <f t="array" ref="F108">IF(D108&lt;=INDEX($C$4:$C$7,B108),1,0)</f>
        <v>0</v>
      </c>
      <c r="G108" s="14">
        <v>0</v>
      </c>
      <c r="H108" s="13">
        <f t="shared" ca="1" si="12"/>
        <v>0</v>
      </c>
      <c r="I108" s="11">
        <f t="shared" ca="1" si="13"/>
        <v>546</v>
      </c>
      <c r="J108">
        <f t="shared" ca="1" si="11"/>
        <v>546</v>
      </c>
      <c r="K108">
        <f t="shared" ca="1" si="14"/>
        <v>0</v>
      </c>
      <c r="M108">
        <v>98</v>
      </c>
      <c r="N108">
        <v>222.70833333333334</v>
      </c>
      <c r="O108">
        <v>-13</v>
      </c>
      <c r="P108">
        <v>594</v>
      </c>
      <c r="Q108">
        <v>147.44241628863705</v>
      </c>
      <c r="R108">
        <v>607</v>
      </c>
      <c r="S108">
        <v>-12</v>
      </c>
      <c r="T108">
        <v>1</v>
      </c>
    </row>
    <row r="109" spans="2:20" x14ac:dyDescent="0.25">
      <c r="B109">
        <v>3</v>
      </c>
      <c r="C109">
        <v>99</v>
      </c>
      <c r="D109" s="8">
        <f t="shared" si="15"/>
        <v>1</v>
      </c>
      <c r="E109" s="9">
        <v>1</v>
      </c>
      <c r="F109" s="9" cm="1">
        <f t="array" ref="F109">IF(D109&lt;=INDEX($C$4:$C$7,B109),1,0)</f>
        <v>1</v>
      </c>
      <c r="G109" s="9">
        <v>189</v>
      </c>
      <c r="H109" s="13">
        <f t="shared" ca="1" si="12"/>
        <v>166</v>
      </c>
      <c r="I109" s="11">
        <f t="shared" ca="1" si="13"/>
        <v>546</v>
      </c>
      <c r="J109">
        <f t="shared" ca="1" si="11"/>
        <v>569</v>
      </c>
      <c r="K109">
        <f t="shared" ca="1" si="14"/>
        <v>0</v>
      </c>
      <c r="M109">
        <v>99</v>
      </c>
      <c r="N109">
        <v>238.4047619047619</v>
      </c>
      <c r="O109">
        <v>-14</v>
      </c>
      <c r="P109">
        <v>637</v>
      </c>
      <c r="Q109">
        <v>165.00058578883167</v>
      </c>
      <c r="R109">
        <v>651</v>
      </c>
      <c r="S109">
        <v>-12</v>
      </c>
      <c r="T109">
        <v>0</v>
      </c>
    </row>
    <row r="110" spans="2:20" x14ac:dyDescent="0.25">
      <c r="B110">
        <v>3</v>
      </c>
      <c r="C110">
        <v>100</v>
      </c>
      <c r="D110" s="12">
        <f t="shared" si="15"/>
        <v>2</v>
      </c>
      <c r="E110" s="11">
        <v>1</v>
      </c>
      <c r="F110" s="11" cm="1">
        <f t="array" ref="F110">IF(D110&lt;=INDEX($C$4:$C$7,B110),1,0)</f>
        <v>1</v>
      </c>
      <c r="G110" s="11">
        <v>166</v>
      </c>
      <c r="H110" s="13">
        <f t="shared" ca="1" si="12"/>
        <v>163</v>
      </c>
      <c r="I110" s="11">
        <f t="shared" ca="1" si="13"/>
        <v>569</v>
      </c>
      <c r="J110">
        <f t="shared" ca="1" si="11"/>
        <v>572</v>
      </c>
      <c r="K110">
        <f t="shared" ca="1" si="14"/>
        <v>0</v>
      </c>
      <c r="M110">
        <v>100</v>
      </c>
      <c r="N110">
        <v>236.04761904761904</v>
      </c>
      <c r="O110">
        <v>-13</v>
      </c>
      <c r="P110">
        <v>659</v>
      </c>
      <c r="Q110">
        <v>163.54436595978538</v>
      </c>
      <c r="R110">
        <v>672</v>
      </c>
      <c r="S110">
        <v>-12</v>
      </c>
      <c r="T110">
        <v>0</v>
      </c>
    </row>
    <row r="111" spans="2:20" x14ac:dyDescent="0.25">
      <c r="B111">
        <v>3</v>
      </c>
      <c r="C111">
        <v>101</v>
      </c>
      <c r="D111" s="12">
        <f t="shared" si="15"/>
        <v>3</v>
      </c>
      <c r="E111" s="11">
        <v>1</v>
      </c>
      <c r="F111" s="11" cm="1">
        <f t="array" ref="F111">IF(D111&lt;=INDEX($C$4:$C$7,B111),1,0)</f>
        <v>1</v>
      </c>
      <c r="G111" s="11">
        <v>137</v>
      </c>
      <c r="H111" s="13">
        <f t="shared" ca="1" si="12"/>
        <v>144</v>
      </c>
      <c r="I111" s="11">
        <f t="shared" ca="1" si="13"/>
        <v>572</v>
      </c>
      <c r="J111">
        <f t="shared" ca="1" si="11"/>
        <v>565</v>
      </c>
      <c r="K111">
        <f t="shared" ca="1" si="14"/>
        <v>0</v>
      </c>
    </row>
    <row r="112" spans="2:20" x14ac:dyDescent="0.25">
      <c r="B112">
        <v>3</v>
      </c>
      <c r="C112">
        <v>102</v>
      </c>
      <c r="D112" s="12">
        <f t="shared" si="15"/>
        <v>4</v>
      </c>
      <c r="E112" s="11">
        <v>1</v>
      </c>
      <c r="F112" s="11" cm="1">
        <f t="array" ref="F112">IF(D112&lt;=INDEX($C$4:$C$7,B112),1,0)</f>
        <v>1</v>
      </c>
      <c r="G112" s="11">
        <v>196</v>
      </c>
      <c r="H112" s="13">
        <f t="shared" ca="1" si="12"/>
        <v>160</v>
      </c>
      <c r="I112" s="11">
        <f t="shared" ca="1" si="13"/>
        <v>565</v>
      </c>
      <c r="J112">
        <f t="shared" ca="1" si="11"/>
        <v>601</v>
      </c>
      <c r="K112">
        <f t="shared" ca="1" si="14"/>
        <v>0</v>
      </c>
    </row>
    <row r="113" spans="2:11" x14ac:dyDescent="0.25">
      <c r="B113">
        <v>3</v>
      </c>
      <c r="C113">
        <v>103</v>
      </c>
      <c r="D113" s="12">
        <f t="shared" si="15"/>
        <v>5</v>
      </c>
      <c r="E113" s="11">
        <v>1</v>
      </c>
      <c r="F113" s="11" cm="1">
        <f t="array" ref="F113">IF(D113&lt;=INDEX($C$4:$C$7,B113),1,0)</f>
        <v>1</v>
      </c>
      <c r="G113" s="11">
        <v>128</v>
      </c>
      <c r="H113" s="13">
        <f t="shared" ca="1" si="12"/>
        <v>144</v>
      </c>
      <c r="I113" s="11">
        <f t="shared" ca="1" si="13"/>
        <v>601</v>
      </c>
      <c r="J113">
        <f t="shared" ca="1" si="11"/>
        <v>585</v>
      </c>
      <c r="K113">
        <f t="shared" ca="1" si="14"/>
        <v>0</v>
      </c>
    </row>
    <row r="114" spans="2:11" x14ac:dyDescent="0.25">
      <c r="B114">
        <v>3</v>
      </c>
      <c r="C114">
        <v>104</v>
      </c>
      <c r="D114" s="12">
        <f t="shared" si="15"/>
        <v>6</v>
      </c>
      <c r="E114" s="11">
        <v>0</v>
      </c>
      <c r="F114" s="11" cm="1">
        <f t="array" ref="F114">IF(D114&lt;=INDEX($C$4:$C$7,B114),1,0)</f>
        <v>0</v>
      </c>
      <c r="G114" s="11">
        <v>0</v>
      </c>
      <c r="H114" s="13">
        <f t="shared" ca="1" si="12"/>
        <v>0</v>
      </c>
      <c r="I114" s="11">
        <f t="shared" ca="1" si="13"/>
        <v>585</v>
      </c>
      <c r="J114">
        <f t="shared" ca="1" si="11"/>
        <v>585</v>
      </c>
      <c r="K114">
        <f t="shared" ca="1" si="14"/>
        <v>0</v>
      </c>
    </row>
    <row r="115" spans="2:11" x14ac:dyDescent="0.25">
      <c r="B115">
        <v>3</v>
      </c>
      <c r="C115">
        <v>105</v>
      </c>
      <c r="D115" s="16">
        <f t="shared" si="15"/>
        <v>7</v>
      </c>
      <c r="E115" s="14">
        <v>0</v>
      </c>
      <c r="F115" s="14" cm="1">
        <f t="array" ref="F115">IF(D115&lt;=INDEX($C$4:$C$7,B115),1,0)</f>
        <v>0</v>
      </c>
      <c r="G115" s="14">
        <v>0</v>
      </c>
      <c r="H115" s="13">
        <f t="shared" ca="1" si="12"/>
        <v>0</v>
      </c>
      <c r="I115" s="11">
        <f t="shared" ca="1" si="13"/>
        <v>585</v>
      </c>
      <c r="J115">
        <f t="shared" ca="1" si="11"/>
        <v>585</v>
      </c>
      <c r="K115">
        <f t="shared" ca="1" si="14"/>
        <v>0</v>
      </c>
    </row>
    <row r="116" spans="2:11" x14ac:dyDescent="0.25">
      <c r="B116">
        <v>3</v>
      </c>
      <c r="C116">
        <v>106</v>
      </c>
      <c r="D116" s="8">
        <f t="shared" si="15"/>
        <v>1</v>
      </c>
      <c r="E116" s="9">
        <v>1</v>
      </c>
      <c r="F116" s="9" cm="1">
        <f t="array" ref="F116">IF(D116&lt;=INDEX($C$4:$C$7,B116),1,0)</f>
        <v>1</v>
      </c>
      <c r="G116" s="9">
        <v>17</v>
      </c>
      <c r="H116" s="13">
        <f t="shared" ca="1" si="12"/>
        <v>165</v>
      </c>
      <c r="I116" s="11">
        <f t="shared" ca="1" si="13"/>
        <v>585</v>
      </c>
      <c r="J116">
        <f t="shared" ca="1" si="11"/>
        <v>437</v>
      </c>
      <c r="K116">
        <f t="shared" ca="1" si="14"/>
        <v>0</v>
      </c>
    </row>
    <row r="117" spans="2:11" x14ac:dyDescent="0.25">
      <c r="B117">
        <v>3</v>
      </c>
      <c r="C117">
        <v>107</v>
      </c>
      <c r="D117" s="12">
        <f t="shared" si="15"/>
        <v>2</v>
      </c>
      <c r="E117" s="11">
        <v>1</v>
      </c>
      <c r="F117" s="11" cm="1">
        <f t="array" ref="F117">IF(D117&lt;=INDEX($C$4:$C$7,B117),1,0)</f>
        <v>1</v>
      </c>
      <c r="G117" s="11">
        <v>174</v>
      </c>
      <c r="H117" s="13">
        <f t="shared" ca="1" si="12"/>
        <v>168</v>
      </c>
      <c r="I117" s="11">
        <f t="shared" ca="1" si="13"/>
        <v>437</v>
      </c>
      <c r="J117">
        <f t="shared" ca="1" si="11"/>
        <v>443</v>
      </c>
      <c r="K117">
        <f t="shared" ca="1" si="14"/>
        <v>0</v>
      </c>
    </row>
    <row r="118" spans="2:11" x14ac:dyDescent="0.25">
      <c r="B118">
        <v>3</v>
      </c>
      <c r="C118">
        <v>108</v>
      </c>
      <c r="D118" s="12">
        <f t="shared" si="15"/>
        <v>3</v>
      </c>
      <c r="E118" s="11">
        <v>1</v>
      </c>
      <c r="F118" s="11" cm="1">
        <f t="array" ref="F118">IF(D118&lt;=INDEX($C$4:$C$7,B118),1,0)</f>
        <v>1</v>
      </c>
      <c r="G118" s="11">
        <v>187</v>
      </c>
      <c r="H118" s="13">
        <f t="shared" ca="1" si="12"/>
        <v>154</v>
      </c>
      <c r="I118" s="11">
        <f t="shared" ca="1" si="13"/>
        <v>443</v>
      </c>
      <c r="J118">
        <f t="shared" ca="1" si="11"/>
        <v>476</v>
      </c>
      <c r="K118">
        <f t="shared" ca="1" si="14"/>
        <v>0</v>
      </c>
    </row>
    <row r="119" spans="2:11" x14ac:dyDescent="0.25">
      <c r="B119">
        <v>3</v>
      </c>
      <c r="C119">
        <v>109</v>
      </c>
      <c r="D119" s="12">
        <f t="shared" si="15"/>
        <v>4</v>
      </c>
      <c r="E119" s="11">
        <v>1</v>
      </c>
      <c r="F119" s="11" cm="1">
        <f t="array" ref="F119">IF(D119&lt;=INDEX($C$4:$C$7,B119),1,0)</f>
        <v>1</v>
      </c>
      <c r="G119" s="11">
        <v>142</v>
      </c>
      <c r="H119" s="13">
        <f t="shared" ca="1" si="12"/>
        <v>167</v>
      </c>
      <c r="I119" s="11">
        <f t="shared" ca="1" si="13"/>
        <v>476</v>
      </c>
      <c r="J119">
        <f t="shared" ca="1" si="11"/>
        <v>451</v>
      </c>
      <c r="K119">
        <f t="shared" ca="1" si="14"/>
        <v>0</v>
      </c>
    </row>
    <row r="120" spans="2:11" x14ac:dyDescent="0.25">
      <c r="B120">
        <v>3</v>
      </c>
      <c r="C120">
        <v>110</v>
      </c>
      <c r="D120" s="12">
        <f t="shared" si="15"/>
        <v>5</v>
      </c>
      <c r="E120" s="11">
        <v>1</v>
      </c>
      <c r="F120" s="11" cm="1">
        <f t="array" ref="F120">IF(D120&lt;=INDEX($C$4:$C$7,B120),1,0)</f>
        <v>1</v>
      </c>
      <c r="G120" s="11">
        <v>121</v>
      </c>
      <c r="H120" s="13">
        <f t="shared" ca="1" si="12"/>
        <v>143</v>
      </c>
      <c r="I120" s="11">
        <f t="shared" ca="1" si="13"/>
        <v>451</v>
      </c>
      <c r="J120">
        <f t="shared" ca="1" si="11"/>
        <v>429</v>
      </c>
      <c r="K120">
        <f t="shared" ca="1" si="14"/>
        <v>0</v>
      </c>
    </row>
    <row r="121" spans="2:11" x14ac:dyDescent="0.25">
      <c r="B121">
        <v>3</v>
      </c>
      <c r="C121">
        <v>111</v>
      </c>
      <c r="D121" s="12">
        <f t="shared" si="15"/>
        <v>6</v>
      </c>
      <c r="E121" s="11">
        <v>0</v>
      </c>
      <c r="F121" s="11" cm="1">
        <f t="array" ref="F121">IF(D121&lt;=INDEX($C$4:$C$7,B121),1,0)</f>
        <v>0</v>
      </c>
      <c r="G121" s="11">
        <v>0</v>
      </c>
      <c r="H121" s="13">
        <f t="shared" ca="1" si="12"/>
        <v>0</v>
      </c>
      <c r="I121" s="11">
        <f t="shared" ca="1" si="13"/>
        <v>429</v>
      </c>
      <c r="J121">
        <f t="shared" ca="1" si="11"/>
        <v>429</v>
      </c>
      <c r="K121">
        <f t="shared" ca="1" si="14"/>
        <v>0</v>
      </c>
    </row>
    <row r="122" spans="2:11" x14ac:dyDescent="0.25">
      <c r="B122">
        <v>3</v>
      </c>
      <c r="C122">
        <v>112</v>
      </c>
      <c r="D122" s="16">
        <f t="shared" si="15"/>
        <v>7</v>
      </c>
      <c r="E122" s="14">
        <v>0</v>
      </c>
      <c r="F122" s="14" cm="1">
        <f t="array" ref="F122">IF(D122&lt;=INDEX($C$4:$C$7,B122),1,0)</f>
        <v>0</v>
      </c>
      <c r="G122" s="14">
        <v>0</v>
      </c>
      <c r="H122" s="13">
        <f t="shared" ca="1" si="12"/>
        <v>0</v>
      </c>
      <c r="I122" s="11">
        <f t="shared" ca="1" si="13"/>
        <v>429</v>
      </c>
      <c r="J122">
        <f t="shared" ca="1" si="11"/>
        <v>429</v>
      </c>
      <c r="K122">
        <f t="shared" ca="1" si="14"/>
        <v>0</v>
      </c>
    </row>
    <row r="123" spans="2:11" x14ac:dyDescent="0.25">
      <c r="B123">
        <v>3</v>
      </c>
      <c r="C123">
        <v>113</v>
      </c>
      <c r="D123" s="8">
        <f t="shared" si="15"/>
        <v>1</v>
      </c>
      <c r="E123" s="9">
        <v>1</v>
      </c>
      <c r="F123" s="9" cm="1">
        <f t="array" ref="F123">IF(D123&lt;=INDEX($C$4:$C$7,B123),1,0)</f>
        <v>1</v>
      </c>
      <c r="G123" s="9">
        <v>130</v>
      </c>
      <c r="H123" s="13">
        <f t="shared" ca="1" si="12"/>
        <v>144</v>
      </c>
      <c r="I123" s="11">
        <f t="shared" ca="1" si="13"/>
        <v>429</v>
      </c>
      <c r="J123">
        <f t="shared" ca="1" si="11"/>
        <v>415</v>
      </c>
      <c r="K123">
        <f t="shared" ca="1" si="14"/>
        <v>0</v>
      </c>
    </row>
    <row r="124" spans="2:11" x14ac:dyDescent="0.25">
      <c r="B124">
        <v>3</v>
      </c>
      <c r="C124">
        <v>114</v>
      </c>
      <c r="D124" s="12">
        <f t="shared" si="15"/>
        <v>2</v>
      </c>
      <c r="E124" s="11">
        <v>1</v>
      </c>
      <c r="F124" s="11" cm="1">
        <f t="array" ref="F124">IF(D124&lt;=INDEX($C$4:$C$7,B124),1,0)</f>
        <v>1</v>
      </c>
      <c r="G124" s="11">
        <v>184</v>
      </c>
      <c r="H124" s="13">
        <f t="shared" ca="1" si="12"/>
        <v>177</v>
      </c>
      <c r="I124" s="11">
        <f t="shared" ca="1" si="13"/>
        <v>415</v>
      </c>
      <c r="J124">
        <f t="shared" ca="1" si="11"/>
        <v>422</v>
      </c>
      <c r="K124">
        <f t="shared" ca="1" si="14"/>
        <v>0</v>
      </c>
    </row>
    <row r="125" spans="2:11" x14ac:dyDescent="0.25">
      <c r="B125">
        <v>3</v>
      </c>
      <c r="C125">
        <v>115</v>
      </c>
      <c r="D125" s="12">
        <f t="shared" si="15"/>
        <v>3</v>
      </c>
      <c r="E125" s="11">
        <v>1</v>
      </c>
      <c r="F125" s="11" cm="1">
        <f t="array" ref="F125">IF(D125&lt;=INDEX($C$4:$C$7,B125),1,0)</f>
        <v>1</v>
      </c>
      <c r="G125" s="11">
        <v>179</v>
      </c>
      <c r="H125" s="13">
        <f t="shared" ca="1" si="12"/>
        <v>163</v>
      </c>
      <c r="I125" s="11">
        <f t="shared" ca="1" si="13"/>
        <v>422</v>
      </c>
      <c r="J125">
        <f t="shared" ca="1" si="11"/>
        <v>438</v>
      </c>
      <c r="K125">
        <f t="shared" ca="1" si="14"/>
        <v>0</v>
      </c>
    </row>
    <row r="126" spans="2:11" x14ac:dyDescent="0.25">
      <c r="B126">
        <v>3</v>
      </c>
      <c r="C126">
        <v>116</v>
      </c>
      <c r="D126" s="12">
        <f t="shared" si="15"/>
        <v>4</v>
      </c>
      <c r="E126" s="11">
        <v>1</v>
      </c>
      <c r="F126" s="11" cm="1">
        <f t="array" ref="F126">IF(D126&lt;=INDEX($C$4:$C$7,B126),1,0)</f>
        <v>1</v>
      </c>
      <c r="G126" s="11">
        <v>174</v>
      </c>
      <c r="H126" s="13">
        <f t="shared" ca="1" si="12"/>
        <v>176</v>
      </c>
      <c r="I126" s="11">
        <f t="shared" ca="1" si="13"/>
        <v>438</v>
      </c>
      <c r="J126">
        <f t="shared" ca="1" si="11"/>
        <v>436</v>
      </c>
      <c r="K126">
        <f t="shared" ca="1" si="14"/>
        <v>0</v>
      </c>
    </row>
    <row r="127" spans="2:11" x14ac:dyDescent="0.25">
      <c r="B127">
        <v>3</v>
      </c>
      <c r="C127">
        <v>117</v>
      </c>
      <c r="D127" s="12">
        <f t="shared" si="15"/>
        <v>5</v>
      </c>
      <c r="E127" s="11">
        <v>1</v>
      </c>
      <c r="F127" s="11" cm="1">
        <f t="array" ref="F127">IF(D127&lt;=INDEX($C$4:$C$7,B127),1,0)</f>
        <v>1</v>
      </c>
      <c r="G127" s="11">
        <v>138</v>
      </c>
      <c r="H127" s="13">
        <f t="shared" ca="1" si="12"/>
        <v>166</v>
      </c>
      <c r="I127" s="11">
        <f t="shared" ca="1" si="13"/>
        <v>436</v>
      </c>
      <c r="J127">
        <f t="shared" ca="1" si="11"/>
        <v>408</v>
      </c>
      <c r="K127">
        <f t="shared" ca="1" si="14"/>
        <v>0</v>
      </c>
    </row>
    <row r="128" spans="2:11" x14ac:dyDescent="0.25">
      <c r="B128">
        <v>3</v>
      </c>
      <c r="C128">
        <v>118</v>
      </c>
      <c r="D128" s="12">
        <f t="shared" si="15"/>
        <v>6</v>
      </c>
      <c r="E128" s="11">
        <v>0</v>
      </c>
      <c r="F128" s="11" cm="1">
        <f t="array" ref="F128">IF(D128&lt;=INDEX($C$4:$C$7,B128),1,0)</f>
        <v>0</v>
      </c>
      <c r="G128" s="11">
        <v>0</v>
      </c>
      <c r="H128" s="13">
        <f t="shared" ca="1" si="12"/>
        <v>0</v>
      </c>
      <c r="I128" s="11">
        <f t="shared" ca="1" si="13"/>
        <v>408</v>
      </c>
      <c r="J128">
        <f t="shared" ca="1" si="11"/>
        <v>408</v>
      </c>
      <c r="K128">
        <f t="shared" ca="1" si="14"/>
        <v>0</v>
      </c>
    </row>
    <row r="129" spans="2:11" x14ac:dyDescent="0.25">
      <c r="B129">
        <v>3</v>
      </c>
      <c r="C129">
        <v>119</v>
      </c>
      <c r="D129" s="16">
        <f t="shared" si="15"/>
        <v>7</v>
      </c>
      <c r="E129" s="14">
        <v>0</v>
      </c>
      <c r="F129" s="14" cm="1">
        <f t="array" ref="F129">IF(D129&lt;=INDEX($C$4:$C$7,B129),1,0)</f>
        <v>0</v>
      </c>
      <c r="G129" s="14">
        <v>0</v>
      </c>
      <c r="H129" s="13">
        <f t="shared" ca="1" si="12"/>
        <v>0</v>
      </c>
      <c r="I129" s="11">
        <f t="shared" ca="1" si="13"/>
        <v>408</v>
      </c>
      <c r="J129">
        <f t="shared" ca="1" si="11"/>
        <v>408</v>
      </c>
      <c r="K129">
        <f t="shared" ca="1" si="14"/>
        <v>0</v>
      </c>
    </row>
    <row r="130" spans="2:11" x14ac:dyDescent="0.25">
      <c r="B130">
        <v>3</v>
      </c>
      <c r="C130">
        <v>120</v>
      </c>
      <c r="D130" s="8">
        <f t="shared" si="15"/>
        <v>1</v>
      </c>
      <c r="E130" s="9">
        <v>1</v>
      </c>
      <c r="F130" s="9" cm="1">
        <f t="array" ref="F130">IF(D130&lt;=INDEX($C$4:$C$7,B130),1,0)</f>
        <v>1</v>
      </c>
      <c r="G130" s="9">
        <v>153</v>
      </c>
      <c r="H130" s="13">
        <f t="shared" ca="1" si="12"/>
        <v>175</v>
      </c>
      <c r="I130" s="11">
        <f t="shared" ca="1" si="13"/>
        <v>408</v>
      </c>
      <c r="J130">
        <f t="shared" ca="1" si="11"/>
        <v>386</v>
      </c>
      <c r="K130">
        <f t="shared" ca="1" si="14"/>
        <v>0</v>
      </c>
    </row>
    <row r="131" spans="2:11" x14ac:dyDescent="0.25">
      <c r="B131">
        <v>3</v>
      </c>
      <c r="C131">
        <v>121</v>
      </c>
      <c r="D131" s="12">
        <f t="shared" si="15"/>
        <v>2</v>
      </c>
      <c r="E131" s="11">
        <v>1</v>
      </c>
      <c r="F131" s="11" cm="1">
        <f t="array" ref="F131">IF(D131&lt;=INDEX($C$4:$C$7,B131),1,0)</f>
        <v>1</v>
      </c>
      <c r="G131" s="11">
        <v>140</v>
      </c>
      <c r="H131" s="13">
        <f t="shared" ca="1" si="12"/>
        <v>163</v>
      </c>
      <c r="I131" s="11">
        <f t="shared" ca="1" si="13"/>
        <v>386</v>
      </c>
      <c r="J131">
        <f t="shared" ca="1" si="11"/>
        <v>363</v>
      </c>
      <c r="K131">
        <f t="shared" ca="1" si="14"/>
        <v>0</v>
      </c>
    </row>
    <row r="132" spans="2:11" x14ac:dyDescent="0.25">
      <c r="B132">
        <v>3</v>
      </c>
      <c r="C132">
        <v>122</v>
      </c>
      <c r="D132" s="12">
        <f t="shared" si="15"/>
        <v>3</v>
      </c>
      <c r="E132" s="11">
        <v>1</v>
      </c>
      <c r="F132" s="11" cm="1">
        <f t="array" ref="F132">IF(D132&lt;=INDEX($C$4:$C$7,B132),1,0)</f>
        <v>1</v>
      </c>
      <c r="G132" s="11">
        <v>160</v>
      </c>
      <c r="H132" s="13">
        <f t="shared" ca="1" si="12"/>
        <v>168</v>
      </c>
      <c r="I132" s="11">
        <f t="shared" ca="1" si="13"/>
        <v>363</v>
      </c>
      <c r="J132">
        <f t="shared" ca="1" si="11"/>
        <v>355</v>
      </c>
      <c r="K132">
        <f t="shared" ca="1" si="14"/>
        <v>0</v>
      </c>
    </row>
    <row r="133" spans="2:11" x14ac:dyDescent="0.25">
      <c r="B133">
        <v>3</v>
      </c>
      <c r="C133">
        <v>123</v>
      </c>
      <c r="D133" s="12">
        <f t="shared" si="15"/>
        <v>4</v>
      </c>
      <c r="E133" s="11">
        <v>1</v>
      </c>
      <c r="F133" s="11" cm="1">
        <f t="array" ref="F133">IF(D133&lt;=INDEX($C$4:$C$7,B133),1,0)</f>
        <v>1</v>
      </c>
      <c r="G133" s="11">
        <v>130</v>
      </c>
      <c r="H133" s="13">
        <f t="shared" ca="1" si="12"/>
        <v>162</v>
      </c>
      <c r="I133" s="11">
        <f t="shared" ca="1" si="13"/>
        <v>355</v>
      </c>
      <c r="J133">
        <f t="shared" ca="1" si="11"/>
        <v>323</v>
      </c>
      <c r="K133">
        <f t="shared" ca="1" si="14"/>
        <v>0</v>
      </c>
    </row>
    <row r="134" spans="2:11" x14ac:dyDescent="0.25">
      <c r="B134">
        <v>3</v>
      </c>
      <c r="C134">
        <v>124</v>
      </c>
      <c r="D134" s="12">
        <f t="shared" si="15"/>
        <v>5</v>
      </c>
      <c r="E134" s="11">
        <v>1</v>
      </c>
      <c r="F134" s="11" cm="1">
        <f t="array" ref="F134">IF(D134&lt;=INDEX($C$4:$C$7,B134),1,0)</f>
        <v>1</v>
      </c>
      <c r="G134" s="11">
        <v>189</v>
      </c>
      <c r="H134" s="13">
        <f t="shared" ca="1" si="12"/>
        <v>146</v>
      </c>
      <c r="I134" s="11">
        <f t="shared" ca="1" si="13"/>
        <v>323</v>
      </c>
      <c r="J134">
        <f t="shared" ca="1" si="11"/>
        <v>366</v>
      </c>
      <c r="K134">
        <f t="shared" ca="1" si="14"/>
        <v>0</v>
      </c>
    </row>
    <row r="135" spans="2:11" x14ac:dyDescent="0.25">
      <c r="B135">
        <v>3</v>
      </c>
      <c r="C135">
        <v>125</v>
      </c>
      <c r="D135" s="12">
        <f t="shared" si="15"/>
        <v>6</v>
      </c>
      <c r="E135" s="11">
        <v>0</v>
      </c>
      <c r="F135" s="11" cm="1">
        <f t="array" ref="F135">IF(D135&lt;=INDEX($C$4:$C$7,B135),1,0)</f>
        <v>0</v>
      </c>
      <c r="G135" s="11">
        <v>0</v>
      </c>
      <c r="H135" s="13">
        <f t="shared" ca="1" si="12"/>
        <v>0</v>
      </c>
      <c r="I135" s="11">
        <f t="shared" ca="1" si="13"/>
        <v>366</v>
      </c>
      <c r="J135">
        <f t="shared" ca="1" si="11"/>
        <v>366</v>
      </c>
      <c r="K135">
        <f t="shared" ca="1" si="14"/>
        <v>0</v>
      </c>
    </row>
    <row r="136" spans="2:11" x14ac:dyDescent="0.25">
      <c r="B136">
        <v>3</v>
      </c>
      <c r="C136">
        <v>126</v>
      </c>
      <c r="D136" s="16">
        <f t="shared" si="15"/>
        <v>7</v>
      </c>
      <c r="E136" s="14">
        <v>0</v>
      </c>
      <c r="F136" s="14" cm="1">
        <f t="array" ref="F136">IF(D136&lt;=INDEX($C$4:$C$7,B136),1,0)</f>
        <v>0</v>
      </c>
      <c r="G136" s="14">
        <v>0</v>
      </c>
      <c r="H136" s="13">
        <f t="shared" ca="1" si="12"/>
        <v>0</v>
      </c>
      <c r="I136" s="11">
        <f t="shared" ca="1" si="13"/>
        <v>366</v>
      </c>
      <c r="J136">
        <f t="shared" ca="1" si="11"/>
        <v>366</v>
      </c>
      <c r="K136">
        <f t="shared" ca="1" si="14"/>
        <v>0</v>
      </c>
    </row>
    <row r="137" spans="2:11" x14ac:dyDescent="0.25">
      <c r="B137">
        <v>4</v>
      </c>
      <c r="C137">
        <v>127</v>
      </c>
      <c r="D137" s="8">
        <f t="shared" si="15"/>
        <v>1</v>
      </c>
      <c r="E137" s="9">
        <v>1</v>
      </c>
      <c r="F137" s="9" cm="1">
        <f t="array" ref="F137">IF(D137&lt;=INDEX($C$4:$C$7,B137),1,0)</f>
        <v>1</v>
      </c>
      <c r="G137" s="9">
        <v>151</v>
      </c>
      <c r="H137" s="13">
        <f t="shared" ca="1" si="12"/>
        <v>144</v>
      </c>
      <c r="I137" s="11">
        <f t="shared" ca="1" si="13"/>
        <v>366</v>
      </c>
      <c r="J137">
        <f t="shared" ca="1" si="11"/>
        <v>373</v>
      </c>
      <c r="K137">
        <f t="shared" ca="1" si="14"/>
        <v>0</v>
      </c>
    </row>
    <row r="138" spans="2:11" x14ac:dyDescent="0.25">
      <c r="B138">
        <v>4</v>
      </c>
      <c r="C138">
        <v>128</v>
      </c>
      <c r="D138" s="12">
        <f t="shared" si="15"/>
        <v>2</v>
      </c>
      <c r="E138" s="11">
        <v>1</v>
      </c>
      <c r="F138" s="11" cm="1">
        <f t="array" ref="F138">IF(D138&lt;=INDEX($C$4:$C$7,B138),1,0)</f>
        <v>1</v>
      </c>
      <c r="G138" s="11">
        <v>132</v>
      </c>
      <c r="H138" s="13">
        <f t="shared" ca="1" si="12"/>
        <v>144</v>
      </c>
      <c r="I138" s="11">
        <f t="shared" ca="1" si="13"/>
        <v>373</v>
      </c>
      <c r="J138">
        <f t="shared" ca="1" si="11"/>
        <v>361</v>
      </c>
      <c r="K138">
        <f t="shared" ca="1" si="14"/>
        <v>0</v>
      </c>
    </row>
    <row r="139" spans="2:11" x14ac:dyDescent="0.25">
      <c r="B139">
        <v>4</v>
      </c>
      <c r="C139">
        <v>129</v>
      </c>
      <c r="D139" s="12">
        <f t="shared" si="15"/>
        <v>3</v>
      </c>
      <c r="E139" s="11">
        <v>1</v>
      </c>
      <c r="F139" s="11" cm="1">
        <f t="array" ref="F139">IF(D139&lt;=INDEX($C$4:$C$7,B139),1,0)</f>
        <v>1</v>
      </c>
      <c r="G139" s="11">
        <v>19</v>
      </c>
      <c r="H139" s="13">
        <f t="shared" ca="1" si="12"/>
        <v>144</v>
      </c>
      <c r="I139" s="11">
        <f t="shared" ca="1" si="13"/>
        <v>361</v>
      </c>
      <c r="J139">
        <f t="shared" ca="1" si="11"/>
        <v>236</v>
      </c>
      <c r="K139">
        <f t="shared" ca="1" si="14"/>
        <v>0</v>
      </c>
    </row>
    <row r="140" spans="2:11" x14ac:dyDescent="0.25">
      <c r="B140">
        <v>4</v>
      </c>
      <c r="C140">
        <v>130</v>
      </c>
      <c r="D140" s="12">
        <f t="shared" si="15"/>
        <v>4</v>
      </c>
      <c r="E140" s="11">
        <v>1</v>
      </c>
      <c r="F140" s="11" cm="1">
        <f t="array" ref="F140">IF(D140&lt;=INDEX($C$4:$C$7,B140),1,0)</f>
        <v>1</v>
      </c>
      <c r="G140" s="11">
        <v>173</v>
      </c>
      <c r="H140" s="13">
        <f t="shared" ca="1" si="12"/>
        <v>177</v>
      </c>
      <c r="I140" s="11">
        <f t="shared" ca="1" si="13"/>
        <v>236</v>
      </c>
      <c r="J140">
        <f t="shared" ref="J140:J178" ca="1" si="16">I140+G140-H140</f>
        <v>232</v>
      </c>
      <c r="K140">
        <f t="shared" ca="1" si="14"/>
        <v>0</v>
      </c>
    </row>
    <row r="141" spans="2:11" x14ac:dyDescent="0.25">
      <c r="B141">
        <v>4</v>
      </c>
      <c r="C141">
        <v>131</v>
      </c>
      <c r="D141" s="12">
        <f t="shared" si="15"/>
        <v>5</v>
      </c>
      <c r="E141" s="11">
        <v>1</v>
      </c>
      <c r="F141" s="11" cm="1">
        <f t="array" ref="F141">IF(D141&lt;=INDEX($C$4:$C$7,B141),1,0)</f>
        <v>1</v>
      </c>
      <c r="G141" s="11">
        <v>161</v>
      </c>
      <c r="H141" s="13">
        <f t="shared" ref="H141:H178" ca="1" si="17">IF(F141=1,ROUND((110%*(MIN(I141,RANDBETWEEN($F$8,$F$9)))),0),0)</f>
        <v>168</v>
      </c>
      <c r="I141" s="11">
        <f t="shared" ref="I141:I178" ca="1" si="18">J140</f>
        <v>232</v>
      </c>
      <c r="J141">
        <f t="shared" ca="1" si="16"/>
        <v>225</v>
      </c>
      <c r="K141">
        <f t="shared" ref="K141:K178" ca="1" si="19">IF(AND(H141=I141,F141=1),1,0)</f>
        <v>0</v>
      </c>
    </row>
    <row r="142" spans="2:11" x14ac:dyDescent="0.25">
      <c r="B142">
        <v>4</v>
      </c>
      <c r="C142">
        <v>132</v>
      </c>
      <c r="D142" s="12">
        <f t="shared" si="15"/>
        <v>6</v>
      </c>
      <c r="E142" s="11">
        <v>0</v>
      </c>
      <c r="F142" s="11" cm="1">
        <f t="array" ref="F142">IF(D142&lt;=INDEX($C$4:$C$7,B142),1,0)</f>
        <v>1</v>
      </c>
      <c r="G142" s="11">
        <v>0</v>
      </c>
      <c r="H142" s="13">
        <f t="shared" ca="1" si="17"/>
        <v>172</v>
      </c>
      <c r="I142" s="11">
        <f t="shared" ca="1" si="18"/>
        <v>225</v>
      </c>
      <c r="J142">
        <f t="shared" ca="1" si="16"/>
        <v>53</v>
      </c>
      <c r="K142">
        <f t="shared" ca="1" si="19"/>
        <v>0</v>
      </c>
    </row>
    <row r="143" spans="2:11" x14ac:dyDescent="0.25">
      <c r="B143">
        <v>4</v>
      </c>
      <c r="C143">
        <v>133</v>
      </c>
      <c r="D143" s="16">
        <f t="shared" si="15"/>
        <v>7</v>
      </c>
      <c r="E143" s="14">
        <v>0</v>
      </c>
      <c r="F143" s="14" cm="1">
        <f t="array" ref="F143">IF(D143&lt;=INDEX($C$4:$C$7,B143),1,0)</f>
        <v>0</v>
      </c>
      <c r="G143" s="14">
        <v>0</v>
      </c>
      <c r="H143" s="13">
        <f t="shared" ca="1" si="17"/>
        <v>0</v>
      </c>
      <c r="I143" s="11">
        <f t="shared" ca="1" si="18"/>
        <v>53</v>
      </c>
      <c r="J143">
        <f t="shared" ca="1" si="16"/>
        <v>53</v>
      </c>
      <c r="K143">
        <f t="shared" ca="1" si="19"/>
        <v>0</v>
      </c>
    </row>
    <row r="144" spans="2:11" x14ac:dyDescent="0.25">
      <c r="B144">
        <v>4</v>
      </c>
      <c r="C144">
        <v>134</v>
      </c>
      <c r="D144" s="8">
        <f t="shared" si="15"/>
        <v>1</v>
      </c>
      <c r="E144" s="9">
        <v>1</v>
      </c>
      <c r="F144" s="9" cm="1">
        <f t="array" ref="F144">IF(D144&lt;=INDEX($C$4:$C$7,B144),1,0)</f>
        <v>1</v>
      </c>
      <c r="G144" s="9">
        <v>156</v>
      </c>
      <c r="H144" s="13">
        <f t="shared" ca="1" si="17"/>
        <v>58</v>
      </c>
      <c r="I144" s="11">
        <f t="shared" ca="1" si="18"/>
        <v>53</v>
      </c>
      <c r="J144">
        <f t="shared" ca="1" si="16"/>
        <v>151</v>
      </c>
      <c r="K144">
        <f t="shared" ca="1" si="19"/>
        <v>0</v>
      </c>
    </row>
    <row r="145" spans="2:11" x14ac:dyDescent="0.25">
      <c r="B145">
        <v>4</v>
      </c>
      <c r="C145">
        <v>135</v>
      </c>
      <c r="D145" s="12">
        <f t="shared" si="15"/>
        <v>2</v>
      </c>
      <c r="E145" s="11">
        <v>1</v>
      </c>
      <c r="F145" s="11" cm="1">
        <f t="array" ref="F145">IF(D145&lt;=INDEX($C$4:$C$7,B145),1,0)</f>
        <v>1</v>
      </c>
      <c r="G145" s="11">
        <v>183</v>
      </c>
      <c r="H145" s="13">
        <f t="shared" ca="1" si="17"/>
        <v>166</v>
      </c>
      <c r="I145" s="11">
        <f t="shared" ca="1" si="18"/>
        <v>151</v>
      </c>
      <c r="J145">
        <f t="shared" ca="1" si="16"/>
        <v>168</v>
      </c>
      <c r="K145">
        <f t="shared" ca="1" si="19"/>
        <v>0</v>
      </c>
    </row>
    <row r="146" spans="2:11" x14ac:dyDescent="0.25">
      <c r="B146">
        <v>4</v>
      </c>
      <c r="C146">
        <v>136</v>
      </c>
      <c r="D146" s="12">
        <f t="shared" si="15"/>
        <v>3</v>
      </c>
      <c r="E146" s="11">
        <v>1</v>
      </c>
      <c r="F146" s="11" cm="1">
        <f t="array" ref="F146">IF(D146&lt;=INDEX($C$4:$C$7,B146),1,0)</f>
        <v>1</v>
      </c>
      <c r="G146" s="11">
        <v>154</v>
      </c>
      <c r="H146" s="13">
        <f t="shared" ca="1" si="17"/>
        <v>164</v>
      </c>
      <c r="I146" s="11">
        <f t="shared" ca="1" si="18"/>
        <v>168</v>
      </c>
      <c r="J146">
        <f t="shared" ca="1" si="16"/>
        <v>158</v>
      </c>
      <c r="K146">
        <f t="shared" ca="1" si="19"/>
        <v>0</v>
      </c>
    </row>
    <row r="147" spans="2:11" x14ac:dyDescent="0.25">
      <c r="B147">
        <v>4</v>
      </c>
      <c r="C147">
        <v>137</v>
      </c>
      <c r="D147" s="12">
        <f t="shared" ref="D147:D178" si="20">D140</f>
        <v>4</v>
      </c>
      <c r="E147" s="11">
        <v>1</v>
      </c>
      <c r="F147" s="11" cm="1">
        <f t="array" ref="F147">IF(D147&lt;=INDEX($C$4:$C$7,B147),1,0)</f>
        <v>1</v>
      </c>
      <c r="G147" s="11">
        <v>141</v>
      </c>
      <c r="H147" s="13">
        <f t="shared" ca="1" si="17"/>
        <v>158</v>
      </c>
      <c r="I147" s="11">
        <f t="shared" ca="1" si="18"/>
        <v>158</v>
      </c>
      <c r="J147">
        <f t="shared" ca="1" si="16"/>
        <v>141</v>
      </c>
      <c r="K147">
        <f t="shared" ca="1" si="19"/>
        <v>1</v>
      </c>
    </row>
    <row r="148" spans="2:11" x14ac:dyDescent="0.25">
      <c r="B148">
        <v>4</v>
      </c>
      <c r="C148">
        <v>138</v>
      </c>
      <c r="D148" s="12">
        <f t="shared" si="20"/>
        <v>5</v>
      </c>
      <c r="E148" s="11">
        <v>1</v>
      </c>
      <c r="F148" s="11" cm="1">
        <f t="array" ref="F148">IF(D148&lt;=INDEX($C$4:$C$7,B148),1,0)</f>
        <v>1</v>
      </c>
      <c r="G148" s="11">
        <v>143</v>
      </c>
      <c r="H148" s="13">
        <f t="shared" ca="1" si="17"/>
        <v>155</v>
      </c>
      <c r="I148" s="11">
        <f t="shared" ca="1" si="18"/>
        <v>141</v>
      </c>
      <c r="J148">
        <f t="shared" ca="1" si="16"/>
        <v>129</v>
      </c>
      <c r="K148">
        <f t="shared" ca="1" si="19"/>
        <v>0</v>
      </c>
    </row>
    <row r="149" spans="2:11" x14ac:dyDescent="0.25">
      <c r="B149">
        <v>4</v>
      </c>
      <c r="C149">
        <v>139</v>
      </c>
      <c r="D149" s="12">
        <f t="shared" si="20"/>
        <v>6</v>
      </c>
      <c r="E149" s="11">
        <v>0</v>
      </c>
      <c r="F149" s="11" cm="1">
        <f t="array" ref="F149">IF(D149&lt;=INDEX($C$4:$C$7,B149),1,0)</f>
        <v>1</v>
      </c>
      <c r="G149" s="11">
        <v>0</v>
      </c>
      <c r="H149" s="13">
        <f t="shared" ca="1" si="17"/>
        <v>142</v>
      </c>
      <c r="I149" s="11">
        <f t="shared" ca="1" si="18"/>
        <v>129</v>
      </c>
      <c r="J149">
        <f t="shared" ca="1" si="16"/>
        <v>-13</v>
      </c>
      <c r="K149">
        <f t="shared" ca="1" si="19"/>
        <v>0</v>
      </c>
    </row>
    <row r="150" spans="2:11" x14ac:dyDescent="0.25">
      <c r="B150">
        <v>4</v>
      </c>
      <c r="C150">
        <v>140</v>
      </c>
      <c r="D150" s="16">
        <f t="shared" si="20"/>
        <v>7</v>
      </c>
      <c r="E150" s="14">
        <v>0</v>
      </c>
      <c r="F150" s="14" cm="1">
        <f t="array" ref="F150">IF(D150&lt;=INDEX($C$4:$C$7,B150),1,0)</f>
        <v>0</v>
      </c>
      <c r="G150" s="14">
        <v>0</v>
      </c>
      <c r="H150" s="13">
        <f t="shared" ca="1" si="17"/>
        <v>0</v>
      </c>
      <c r="I150" s="11">
        <f t="shared" ca="1" si="18"/>
        <v>-13</v>
      </c>
      <c r="J150">
        <f t="shared" ca="1" si="16"/>
        <v>-13</v>
      </c>
      <c r="K150">
        <f t="shared" ca="1" si="19"/>
        <v>0</v>
      </c>
    </row>
    <row r="151" spans="2:11" x14ac:dyDescent="0.25">
      <c r="B151">
        <v>4</v>
      </c>
      <c r="C151">
        <v>141</v>
      </c>
      <c r="D151" s="8">
        <f t="shared" si="20"/>
        <v>1</v>
      </c>
      <c r="E151" s="9">
        <v>1</v>
      </c>
      <c r="F151" s="9" cm="1">
        <f t="array" ref="F151">IF(D151&lt;=INDEX($C$4:$C$7,B151),1,0)</f>
        <v>1</v>
      </c>
      <c r="G151" s="9">
        <v>184</v>
      </c>
      <c r="H151" s="13">
        <f t="shared" ca="1" si="17"/>
        <v>-14</v>
      </c>
      <c r="I151" s="11">
        <f t="shared" ca="1" si="18"/>
        <v>-13</v>
      </c>
      <c r="J151">
        <f t="shared" ca="1" si="16"/>
        <v>185</v>
      </c>
      <c r="K151">
        <f t="shared" ca="1" si="19"/>
        <v>0</v>
      </c>
    </row>
    <row r="152" spans="2:11" x14ac:dyDescent="0.25">
      <c r="B152">
        <v>4</v>
      </c>
      <c r="C152">
        <v>142</v>
      </c>
      <c r="D152" s="12">
        <f t="shared" si="20"/>
        <v>2</v>
      </c>
      <c r="E152" s="11">
        <v>1</v>
      </c>
      <c r="F152" s="11" cm="1">
        <f t="array" ref="F152">IF(D152&lt;=INDEX($C$4:$C$7,B152),1,0)</f>
        <v>1</v>
      </c>
      <c r="G152" s="11">
        <v>188</v>
      </c>
      <c r="H152" s="13">
        <f t="shared" ca="1" si="17"/>
        <v>150</v>
      </c>
      <c r="I152" s="11">
        <f t="shared" ca="1" si="18"/>
        <v>185</v>
      </c>
      <c r="J152">
        <f t="shared" ca="1" si="16"/>
        <v>223</v>
      </c>
      <c r="K152">
        <f t="shared" ca="1" si="19"/>
        <v>0</v>
      </c>
    </row>
    <row r="153" spans="2:11" x14ac:dyDescent="0.25">
      <c r="B153">
        <v>4</v>
      </c>
      <c r="C153">
        <v>143</v>
      </c>
      <c r="D153" s="12">
        <f t="shared" si="20"/>
        <v>3</v>
      </c>
      <c r="E153" s="11">
        <v>1</v>
      </c>
      <c r="F153" s="11" cm="1">
        <f t="array" ref="F153">IF(D153&lt;=INDEX($C$4:$C$7,B153),1,0)</f>
        <v>1</v>
      </c>
      <c r="G153" s="11">
        <v>178</v>
      </c>
      <c r="H153" s="13">
        <f t="shared" ca="1" si="17"/>
        <v>168</v>
      </c>
      <c r="I153" s="11">
        <f t="shared" ca="1" si="18"/>
        <v>223</v>
      </c>
      <c r="J153">
        <f t="shared" ca="1" si="16"/>
        <v>233</v>
      </c>
      <c r="K153">
        <f t="shared" ca="1" si="19"/>
        <v>0</v>
      </c>
    </row>
    <row r="154" spans="2:11" x14ac:dyDescent="0.25">
      <c r="B154">
        <v>4</v>
      </c>
      <c r="C154">
        <v>144</v>
      </c>
      <c r="D154" s="12">
        <f t="shared" si="20"/>
        <v>4</v>
      </c>
      <c r="E154" s="11">
        <v>1</v>
      </c>
      <c r="F154" s="11" cm="1">
        <f t="array" ref="F154">IF(D154&lt;=INDEX($C$4:$C$7,B154),1,0)</f>
        <v>1</v>
      </c>
      <c r="G154" s="11">
        <v>151</v>
      </c>
      <c r="H154" s="13">
        <f t="shared" ca="1" si="17"/>
        <v>176</v>
      </c>
      <c r="I154" s="11">
        <f t="shared" ca="1" si="18"/>
        <v>233</v>
      </c>
      <c r="J154">
        <f t="shared" ca="1" si="16"/>
        <v>208</v>
      </c>
      <c r="K154">
        <f t="shared" ca="1" si="19"/>
        <v>0</v>
      </c>
    </row>
    <row r="155" spans="2:11" x14ac:dyDescent="0.25">
      <c r="B155">
        <v>4</v>
      </c>
      <c r="C155">
        <v>145</v>
      </c>
      <c r="D155" s="12">
        <f t="shared" si="20"/>
        <v>5</v>
      </c>
      <c r="E155" s="11">
        <v>1</v>
      </c>
      <c r="F155" s="11" cm="1">
        <f t="array" ref="F155">IF(D155&lt;=INDEX($C$4:$C$7,B155),1,0)</f>
        <v>1</v>
      </c>
      <c r="G155" s="11">
        <v>160</v>
      </c>
      <c r="H155" s="13">
        <f t="shared" ca="1" si="17"/>
        <v>151</v>
      </c>
      <c r="I155" s="11">
        <f t="shared" ca="1" si="18"/>
        <v>208</v>
      </c>
      <c r="J155">
        <f t="shared" ca="1" si="16"/>
        <v>217</v>
      </c>
      <c r="K155">
        <f t="shared" ca="1" si="19"/>
        <v>0</v>
      </c>
    </row>
    <row r="156" spans="2:11" x14ac:dyDescent="0.25">
      <c r="B156">
        <v>4</v>
      </c>
      <c r="C156">
        <v>146</v>
      </c>
      <c r="D156" s="12">
        <f t="shared" si="20"/>
        <v>6</v>
      </c>
      <c r="E156" s="11">
        <v>0</v>
      </c>
      <c r="F156" s="11" cm="1">
        <f t="array" ref="F156">IF(D156&lt;=INDEX($C$4:$C$7,B156),1,0)</f>
        <v>1</v>
      </c>
      <c r="G156" s="11">
        <v>0</v>
      </c>
      <c r="H156" s="13">
        <f t="shared" ca="1" si="17"/>
        <v>176</v>
      </c>
      <c r="I156" s="11">
        <f t="shared" ca="1" si="18"/>
        <v>217</v>
      </c>
      <c r="J156">
        <f t="shared" ca="1" si="16"/>
        <v>41</v>
      </c>
      <c r="K156">
        <f t="shared" ca="1" si="19"/>
        <v>0</v>
      </c>
    </row>
    <row r="157" spans="2:11" x14ac:dyDescent="0.25">
      <c r="B157">
        <v>4</v>
      </c>
      <c r="C157">
        <v>147</v>
      </c>
      <c r="D157" s="16">
        <f t="shared" si="20"/>
        <v>7</v>
      </c>
      <c r="E157" s="14">
        <v>0</v>
      </c>
      <c r="F157" s="14" cm="1">
        <f t="array" ref="F157">IF(D157&lt;=INDEX($C$4:$C$7,B157),1,0)</f>
        <v>0</v>
      </c>
      <c r="G157" s="14">
        <v>0</v>
      </c>
      <c r="H157" s="13">
        <f t="shared" ca="1" si="17"/>
        <v>0</v>
      </c>
      <c r="I157" s="11">
        <f t="shared" ca="1" si="18"/>
        <v>41</v>
      </c>
      <c r="J157">
        <f t="shared" ca="1" si="16"/>
        <v>41</v>
      </c>
      <c r="K157">
        <f t="shared" ca="1" si="19"/>
        <v>0</v>
      </c>
    </row>
    <row r="158" spans="2:11" x14ac:dyDescent="0.25">
      <c r="B158">
        <v>4</v>
      </c>
      <c r="C158">
        <v>148</v>
      </c>
      <c r="D158" s="8">
        <f t="shared" si="20"/>
        <v>1</v>
      </c>
      <c r="E158" s="9">
        <v>1</v>
      </c>
      <c r="F158" s="9" cm="1">
        <f t="array" ref="F158">IF(D158&lt;=INDEX($C$4:$C$7,B158),1,0)</f>
        <v>1</v>
      </c>
      <c r="G158" s="9">
        <v>183</v>
      </c>
      <c r="H158" s="13">
        <f t="shared" ca="1" si="17"/>
        <v>45</v>
      </c>
      <c r="I158" s="11">
        <f t="shared" ca="1" si="18"/>
        <v>41</v>
      </c>
      <c r="J158">
        <f t="shared" ca="1" si="16"/>
        <v>179</v>
      </c>
      <c r="K158">
        <f t="shared" ca="1" si="19"/>
        <v>0</v>
      </c>
    </row>
    <row r="159" spans="2:11" x14ac:dyDescent="0.25">
      <c r="B159">
        <v>4</v>
      </c>
      <c r="C159">
        <v>149</v>
      </c>
      <c r="D159" s="12">
        <f t="shared" si="20"/>
        <v>2</v>
      </c>
      <c r="E159" s="11">
        <v>1</v>
      </c>
      <c r="F159" s="11" cm="1">
        <f t="array" ref="F159">IF(D159&lt;=INDEX($C$4:$C$7,B159),1,0)</f>
        <v>1</v>
      </c>
      <c r="G159" s="11">
        <v>182</v>
      </c>
      <c r="H159" s="13">
        <f t="shared" ca="1" si="17"/>
        <v>171</v>
      </c>
      <c r="I159" s="11">
        <f t="shared" ca="1" si="18"/>
        <v>179</v>
      </c>
      <c r="J159">
        <f t="shared" ca="1" si="16"/>
        <v>190</v>
      </c>
      <c r="K159">
        <f t="shared" ca="1" si="19"/>
        <v>0</v>
      </c>
    </row>
    <row r="160" spans="2:11" x14ac:dyDescent="0.25">
      <c r="B160">
        <v>4</v>
      </c>
      <c r="C160">
        <v>150</v>
      </c>
      <c r="D160" s="12">
        <f t="shared" si="20"/>
        <v>3</v>
      </c>
      <c r="E160" s="11">
        <v>1</v>
      </c>
      <c r="F160" s="11" cm="1">
        <f t="array" ref="F160">IF(D160&lt;=INDEX($C$4:$C$7,B160),1,0)</f>
        <v>1</v>
      </c>
      <c r="G160" s="11">
        <v>132</v>
      </c>
      <c r="H160" s="13">
        <f t="shared" ca="1" si="17"/>
        <v>152</v>
      </c>
      <c r="I160" s="11">
        <f t="shared" ca="1" si="18"/>
        <v>190</v>
      </c>
      <c r="J160">
        <f t="shared" ca="1" si="16"/>
        <v>170</v>
      </c>
      <c r="K160">
        <f t="shared" ca="1" si="19"/>
        <v>0</v>
      </c>
    </row>
    <row r="161" spans="2:11" x14ac:dyDescent="0.25">
      <c r="B161">
        <v>4</v>
      </c>
      <c r="C161">
        <v>151</v>
      </c>
      <c r="D161" s="12">
        <f t="shared" si="20"/>
        <v>4</v>
      </c>
      <c r="E161" s="11">
        <v>1</v>
      </c>
      <c r="F161" s="11" cm="1">
        <f t="array" ref="F161">IF(D161&lt;=INDEX($C$4:$C$7,B161),1,0)</f>
        <v>1</v>
      </c>
      <c r="G161" s="11">
        <v>180</v>
      </c>
      <c r="H161" s="13">
        <f t="shared" ca="1" si="17"/>
        <v>164</v>
      </c>
      <c r="I161" s="11">
        <f t="shared" ca="1" si="18"/>
        <v>170</v>
      </c>
      <c r="J161">
        <f t="shared" ca="1" si="16"/>
        <v>186</v>
      </c>
      <c r="K161">
        <f t="shared" ca="1" si="19"/>
        <v>0</v>
      </c>
    </row>
    <row r="162" spans="2:11" x14ac:dyDescent="0.25">
      <c r="B162">
        <v>4</v>
      </c>
      <c r="C162">
        <v>152</v>
      </c>
      <c r="D162" s="12">
        <f t="shared" si="20"/>
        <v>5</v>
      </c>
      <c r="E162" s="11">
        <v>1</v>
      </c>
      <c r="F162" s="11" cm="1">
        <f t="array" ref="F162">IF(D162&lt;=INDEX($C$4:$C$7,B162),1,0)</f>
        <v>1</v>
      </c>
      <c r="G162" s="11">
        <v>181</v>
      </c>
      <c r="H162" s="13">
        <f t="shared" ca="1" si="17"/>
        <v>162</v>
      </c>
      <c r="I162" s="11">
        <f t="shared" ca="1" si="18"/>
        <v>186</v>
      </c>
      <c r="J162">
        <f t="shared" ca="1" si="16"/>
        <v>205</v>
      </c>
      <c r="K162">
        <f t="shared" ca="1" si="19"/>
        <v>0</v>
      </c>
    </row>
    <row r="163" spans="2:11" x14ac:dyDescent="0.25">
      <c r="B163">
        <v>4</v>
      </c>
      <c r="C163">
        <v>153</v>
      </c>
      <c r="D163" s="12">
        <f t="shared" si="20"/>
        <v>6</v>
      </c>
      <c r="E163" s="11">
        <v>0</v>
      </c>
      <c r="F163" s="11" cm="1">
        <f t="array" ref="F163">IF(D163&lt;=INDEX($C$4:$C$7,B163),1,0)</f>
        <v>1</v>
      </c>
      <c r="G163" s="11">
        <v>0</v>
      </c>
      <c r="H163" s="13">
        <f t="shared" ca="1" si="17"/>
        <v>171</v>
      </c>
      <c r="I163" s="11">
        <f t="shared" ca="1" si="18"/>
        <v>205</v>
      </c>
      <c r="J163">
        <f t="shared" ca="1" si="16"/>
        <v>34</v>
      </c>
      <c r="K163">
        <f t="shared" ca="1" si="19"/>
        <v>0</v>
      </c>
    </row>
    <row r="164" spans="2:11" x14ac:dyDescent="0.25">
      <c r="B164">
        <v>4</v>
      </c>
      <c r="C164">
        <v>154</v>
      </c>
      <c r="D164" s="16">
        <f t="shared" si="20"/>
        <v>7</v>
      </c>
      <c r="E164" s="14">
        <v>0</v>
      </c>
      <c r="F164" s="14" cm="1">
        <f t="array" ref="F164">IF(D164&lt;=INDEX($C$4:$C$7,B164),1,0)</f>
        <v>0</v>
      </c>
      <c r="G164" s="14">
        <v>0</v>
      </c>
      <c r="H164" s="13">
        <f t="shared" ca="1" si="17"/>
        <v>0</v>
      </c>
      <c r="I164" s="11">
        <f t="shared" ca="1" si="18"/>
        <v>34</v>
      </c>
      <c r="J164">
        <f t="shared" ca="1" si="16"/>
        <v>34</v>
      </c>
      <c r="K164">
        <f t="shared" ca="1" si="19"/>
        <v>0</v>
      </c>
    </row>
    <row r="165" spans="2:11" x14ac:dyDescent="0.25">
      <c r="B165">
        <v>4</v>
      </c>
      <c r="C165">
        <v>155</v>
      </c>
      <c r="D165" s="8">
        <f t="shared" si="20"/>
        <v>1</v>
      </c>
      <c r="E165" s="9">
        <v>1</v>
      </c>
      <c r="F165" s="9" cm="1">
        <f t="array" ref="F165">IF(D165&lt;=INDEX($C$4:$C$7,B165),1,0)</f>
        <v>1</v>
      </c>
      <c r="G165" s="9">
        <v>145</v>
      </c>
      <c r="H165" s="13">
        <f t="shared" ca="1" si="17"/>
        <v>37</v>
      </c>
      <c r="I165" s="11">
        <f t="shared" ca="1" si="18"/>
        <v>34</v>
      </c>
      <c r="J165">
        <f t="shared" ca="1" si="16"/>
        <v>142</v>
      </c>
      <c r="K165">
        <f t="shared" ca="1" si="19"/>
        <v>0</v>
      </c>
    </row>
    <row r="166" spans="2:11" x14ac:dyDescent="0.25">
      <c r="B166">
        <v>4</v>
      </c>
      <c r="C166">
        <v>156</v>
      </c>
      <c r="D166" s="12">
        <f t="shared" si="20"/>
        <v>2</v>
      </c>
      <c r="E166" s="11">
        <v>1</v>
      </c>
      <c r="F166" s="11" cm="1">
        <f t="array" ref="F166">IF(D166&lt;=INDEX($C$4:$C$7,B166),1,0)</f>
        <v>1</v>
      </c>
      <c r="G166" s="11">
        <v>153</v>
      </c>
      <c r="H166" s="13">
        <f t="shared" ca="1" si="17"/>
        <v>152</v>
      </c>
      <c r="I166" s="11">
        <f t="shared" ca="1" si="18"/>
        <v>142</v>
      </c>
      <c r="J166">
        <f t="shared" ca="1" si="16"/>
        <v>143</v>
      </c>
      <c r="K166">
        <f t="shared" ca="1" si="19"/>
        <v>0</v>
      </c>
    </row>
    <row r="167" spans="2:11" x14ac:dyDescent="0.25">
      <c r="B167">
        <v>4</v>
      </c>
      <c r="C167">
        <v>157</v>
      </c>
      <c r="D167" s="12">
        <f t="shared" si="20"/>
        <v>3</v>
      </c>
      <c r="E167" s="11">
        <v>1</v>
      </c>
      <c r="F167" s="11" cm="1">
        <f t="array" ref="F167">IF(D167&lt;=INDEX($C$4:$C$7,B167),1,0)</f>
        <v>1</v>
      </c>
      <c r="G167" s="11">
        <v>144</v>
      </c>
      <c r="H167" s="13">
        <f t="shared" ca="1" si="17"/>
        <v>153</v>
      </c>
      <c r="I167" s="11">
        <f t="shared" ca="1" si="18"/>
        <v>143</v>
      </c>
      <c r="J167">
        <f t="shared" ca="1" si="16"/>
        <v>134</v>
      </c>
      <c r="K167">
        <f t="shared" ca="1" si="19"/>
        <v>0</v>
      </c>
    </row>
    <row r="168" spans="2:11" x14ac:dyDescent="0.25">
      <c r="B168">
        <v>4</v>
      </c>
      <c r="C168">
        <v>158</v>
      </c>
      <c r="D168" s="12">
        <f t="shared" si="20"/>
        <v>4</v>
      </c>
      <c r="E168" s="11">
        <v>1</v>
      </c>
      <c r="F168" s="11" cm="1">
        <f t="array" ref="F168">IF(D168&lt;=INDEX($C$4:$C$7,B168),1,0)</f>
        <v>1</v>
      </c>
      <c r="G168" s="11">
        <v>149</v>
      </c>
      <c r="H168" s="13">
        <f t="shared" ca="1" si="17"/>
        <v>147</v>
      </c>
      <c r="I168" s="11">
        <f t="shared" ca="1" si="18"/>
        <v>134</v>
      </c>
      <c r="J168">
        <f t="shared" ca="1" si="16"/>
        <v>136</v>
      </c>
      <c r="K168">
        <f t="shared" ca="1" si="19"/>
        <v>0</v>
      </c>
    </row>
    <row r="169" spans="2:11" x14ac:dyDescent="0.25">
      <c r="B169">
        <v>4</v>
      </c>
      <c r="C169">
        <v>159</v>
      </c>
      <c r="D169" s="12">
        <f t="shared" si="20"/>
        <v>5</v>
      </c>
      <c r="E169" s="11">
        <v>1</v>
      </c>
      <c r="F169" s="11" cm="1">
        <f t="array" ref="F169">IF(D169&lt;=INDEX($C$4:$C$7,B169),1,0)</f>
        <v>1</v>
      </c>
      <c r="G169" s="11">
        <v>143</v>
      </c>
      <c r="H169" s="13">
        <f t="shared" ca="1" si="17"/>
        <v>150</v>
      </c>
      <c r="I169" s="11">
        <f t="shared" ca="1" si="18"/>
        <v>136</v>
      </c>
      <c r="J169">
        <f t="shared" ca="1" si="16"/>
        <v>129</v>
      </c>
      <c r="K169">
        <f t="shared" ca="1" si="19"/>
        <v>0</v>
      </c>
    </row>
    <row r="170" spans="2:11" x14ac:dyDescent="0.25">
      <c r="B170">
        <v>4</v>
      </c>
      <c r="C170">
        <v>160</v>
      </c>
      <c r="D170" s="12">
        <f t="shared" si="20"/>
        <v>6</v>
      </c>
      <c r="E170" s="11">
        <v>0</v>
      </c>
      <c r="F170" s="11" cm="1">
        <f t="array" ref="F170">IF(D170&lt;=INDEX($C$4:$C$7,B170),1,0)</f>
        <v>1</v>
      </c>
      <c r="G170" s="11">
        <v>0</v>
      </c>
      <c r="H170" s="13">
        <f t="shared" ca="1" si="17"/>
        <v>142</v>
      </c>
      <c r="I170" s="11">
        <f t="shared" ca="1" si="18"/>
        <v>129</v>
      </c>
      <c r="J170">
        <f t="shared" ca="1" si="16"/>
        <v>-13</v>
      </c>
      <c r="K170">
        <f t="shared" ca="1" si="19"/>
        <v>0</v>
      </c>
    </row>
    <row r="171" spans="2:11" x14ac:dyDescent="0.25">
      <c r="B171">
        <v>4</v>
      </c>
      <c r="C171">
        <v>161</v>
      </c>
      <c r="D171" s="16">
        <f t="shared" si="20"/>
        <v>7</v>
      </c>
      <c r="E171" s="14">
        <v>0</v>
      </c>
      <c r="F171" s="14" cm="1">
        <f t="array" ref="F171">IF(D171&lt;=INDEX($C$4:$C$7,B171),1,0)</f>
        <v>0</v>
      </c>
      <c r="G171" s="14">
        <v>0</v>
      </c>
      <c r="H171" s="13">
        <f t="shared" ca="1" si="17"/>
        <v>0</v>
      </c>
      <c r="I171" s="11">
        <f t="shared" ca="1" si="18"/>
        <v>-13</v>
      </c>
      <c r="J171">
        <f t="shared" ca="1" si="16"/>
        <v>-13</v>
      </c>
      <c r="K171">
        <f t="shared" ca="1" si="19"/>
        <v>0</v>
      </c>
    </row>
    <row r="172" spans="2:11" x14ac:dyDescent="0.25">
      <c r="B172">
        <v>4</v>
      </c>
      <c r="C172">
        <v>162</v>
      </c>
      <c r="D172" s="8">
        <f t="shared" si="20"/>
        <v>1</v>
      </c>
      <c r="E172" s="9">
        <v>1</v>
      </c>
      <c r="F172" s="9" cm="1">
        <f t="array" ref="F172">IF(D172&lt;=INDEX($C$4:$C$7,B172),1,0)</f>
        <v>1</v>
      </c>
      <c r="G172" s="9">
        <v>149</v>
      </c>
      <c r="H172" s="13">
        <f t="shared" ca="1" si="17"/>
        <v>-14</v>
      </c>
      <c r="I172" s="11">
        <f t="shared" ca="1" si="18"/>
        <v>-13</v>
      </c>
      <c r="J172">
        <f t="shared" ca="1" si="16"/>
        <v>150</v>
      </c>
      <c r="K172">
        <f t="shared" ca="1" si="19"/>
        <v>0</v>
      </c>
    </row>
    <row r="173" spans="2:11" x14ac:dyDescent="0.25">
      <c r="B173">
        <v>4</v>
      </c>
      <c r="C173">
        <v>163</v>
      </c>
      <c r="D173" s="12">
        <f t="shared" si="20"/>
        <v>2</v>
      </c>
      <c r="E173" s="11">
        <v>1</v>
      </c>
      <c r="F173" s="11" cm="1">
        <f t="array" ref="F173">IF(D173&lt;=INDEX($C$4:$C$7,B173),1,0)</f>
        <v>1</v>
      </c>
      <c r="G173" s="11">
        <v>156</v>
      </c>
      <c r="H173" s="13">
        <f t="shared" ca="1" si="17"/>
        <v>153</v>
      </c>
      <c r="I173" s="11">
        <f t="shared" ca="1" si="18"/>
        <v>150</v>
      </c>
      <c r="J173">
        <f t="shared" ca="1" si="16"/>
        <v>153</v>
      </c>
      <c r="K173">
        <f t="shared" ca="1" si="19"/>
        <v>0</v>
      </c>
    </row>
    <row r="174" spans="2:11" x14ac:dyDescent="0.25">
      <c r="B174">
        <v>4</v>
      </c>
      <c r="C174">
        <v>164</v>
      </c>
      <c r="D174" s="12">
        <f t="shared" si="20"/>
        <v>3</v>
      </c>
      <c r="E174" s="11">
        <v>1</v>
      </c>
      <c r="F174" s="11" cm="1">
        <f t="array" ref="F174">IF(D174&lt;=INDEX($C$4:$C$7,B174),1,0)</f>
        <v>1</v>
      </c>
      <c r="G174" s="11">
        <v>163</v>
      </c>
      <c r="H174" s="13">
        <f t="shared" ca="1" si="17"/>
        <v>168</v>
      </c>
      <c r="I174" s="11">
        <f t="shared" ca="1" si="18"/>
        <v>153</v>
      </c>
      <c r="J174">
        <f t="shared" ca="1" si="16"/>
        <v>148</v>
      </c>
      <c r="K174">
        <f t="shared" ca="1" si="19"/>
        <v>0</v>
      </c>
    </row>
    <row r="175" spans="2:11" x14ac:dyDescent="0.25">
      <c r="B175">
        <v>4</v>
      </c>
      <c r="C175">
        <v>165</v>
      </c>
      <c r="D175" s="12">
        <f t="shared" si="20"/>
        <v>4</v>
      </c>
      <c r="E175" s="11">
        <v>1</v>
      </c>
      <c r="F175" s="11" cm="1">
        <f t="array" ref="F175">IF(D175&lt;=INDEX($C$4:$C$7,B175),1,0)</f>
        <v>1</v>
      </c>
      <c r="G175" s="11">
        <v>128</v>
      </c>
      <c r="H175" s="13">
        <f t="shared" ca="1" si="17"/>
        <v>163</v>
      </c>
      <c r="I175" s="11">
        <f t="shared" ca="1" si="18"/>
        <v>148</v>
      </c>
      <c r="J175">
        <f t="shared" ca="1" si="16"/>
        <v>113</v>
      </c>
      <c r="K175">
        <f t="shared" ca="1" si="19"/>
        <v>0</v>
      </c>
    </row>
    <row r="176" spans="2:11" x14ac:dyDescent="0.25">
      <c r="B176">
        <v>4</v>
      </c>
      <c r="C176">
        <v>166</v>
      </c>
      <c r="D176" s="12">
        <f t="shared" si="20"/>
        <v>5</v>
      </c>
      <c r="E176" s="11">
        <v>1</v>
      </c>
      <c r="F176" s="11" cm="1">
        <f t="array" ref="F176">IF(D176&lt;=INDEX($C$4:$C$7,B176),1,0)</f>
        <v>1</v>
      </c>
      <c r="G176" s="11">
        <v>135</v>
      </c>
      <c r="H176" s="13">
        <f t="shared" ca="1" si="17"/>
        <v>124</v>
      </c>
      <c r="I176" s="11">
        <f t="shared" ca="1" si="18"/>
        <v>113</v>
      </c>
      <c r="J176">
        <f t="shared" ca="1" si="16"/>
        <v>124</v>
      </c>
      <c r="K176">
        <f t="shared" ca="1" si="19"/>
        <v>0</v>
      </c>
    </row>
    <row r="177" spans="2:11" x14ac:dyDescent="0.25">
      <c r="B177">
        <v>4</v>
      </c>
      <c r="C177">
        <v>167</v>
      </c>
      <c r="D177" s="12">
        <f t="shared" si="20"/>
        <v>6</v>
      </c>
      <c r="E177" s="11">
        <v>0</v>
      </c>
      <c r="F177" s="11" cm="1">
        <f t="array" ref="F177">IF(D177&lt;=INDEX($C$4:$C$7,B177),1,0)</f>
        <v>1</v>
      </c>
      <c r="G177" s="11">
        <v>0</v>
      </c>
      <c r="H177" s="13">
        <f t="shared" ca="1" si="17"/>
        <v>136</v>
      </c>
      <c r="I177" s="11">
        <f t="shared" ca="1" si="18"/>
        <v>124</v>
      </c>
      <c r="J177">
        <f t="shared" ca="1" si="16"/>
        <v>-12</v>
      </c>
      <c r="K177">
        <f t="shared" ca="1" si="19"/>
        <v>0</v>
      </c>
    </row>
    <row r="178" spans="2:11" x14ac:dyDescent="0.25">
      <c r="B178">
        <v>4</v>
      </c>
      <c r="C178">
        <v>168</v>
      </c>
      <c r="D178" s="16">
        <f t="shared" si="20"/>
        <v>7</v>
      </c>
      <c r="E178" s="14">
        <v>0</v>
      </c>
      <c r="F178" s="14" cm="1">
        <f t="array" ref="F178">IF(D178&lt;=INDEX($C$4:$C$7,B178),1,0)</f>
        <v>0</v>
      </c>
      <c r="G178" s="14">
        <v>0</v>
      </c>
      <c r="H178" s="13">
        <f t="shared" ca="1" si="17"/>
        <v>0</v>
      </c>
      <c r="I178" s="11">
        <f t="shared" ca="1" si="18"/>
        <v>-12</v>
      </c>
      <c r="J178">
        <f t="shared" ca="1" si="16"/>
        <v>-12</v>
      </c>
      <c r="K178">
        <f t="shared" ca="1" si="19"/>
        <v>0</v>
      </c>
    </row>
  </sheetData>
  <conditionalFormatting sqref="E11:E178">
    <cfRule type="cellIs" dxfId="3" priority="4" operator="equal">
      <formula>0</formula>
    </cfRule>
  </conditionalFormatting>
  <conditionalFormatting sqref="G11:G178">
    <cfRule type="cellIs" dxfId="2" priority="3" operator="equal">
      <formula>0</formula>
    </cfRule>
  </conditionalFormatting>
  <conditionalFormatting sqref="F11:F178">
    <cfRule type="cellIs" dxfId="1" priority="2" operator="equal">
      <formula>0</formula>
    </cfRule>
  </conditionalFormatting>
  <conditionalFormatting sqref="H11:H178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SimPredict">
                <anchor moveWithCells="1" siz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Logging Data</vt:lpstr>
      <vt:lpstr>Backup</vt:lpstr>
      <vt:lpstr> Predictive Modelling</vt:lpstr>
    </vt:vector>
  </TitlesOfParts>
  <Company>Lancaster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Hindle, Adam</dc:creator>
  <cp:lastModifiedBy>saurabh giram</cp:lastModifiedBy>
  <dcterms:created xsi:type="dcterms:W3CDTF">2019-10-28T16:59:37Z</dcterms:created>
  <dcterms:modified xsi:type="dcterms:W3CDTF">2022-01-12T09:46:51Z</dcterms:modified>
</cp:coreProperties>
</file>